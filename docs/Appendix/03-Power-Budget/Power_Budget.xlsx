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wer Budget" sheetId="1" r:id="rId4"/>
  </sheets>
  <definedNames/>
  <calcPr/>
  <extLst>
    <ext uri="GoogleSheetsCustomDataVersion2">
      <go:sheetsCustomData xmlns:go="http://customooxmlschemas.google.com/" r:id="rId5" roundtripDataChecksum="a2Sr2FBnHcZ8TMpIj7divLyB6SwrVVZNJPl5/uyQW5o="/>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8">
      <text>
        <t xml:space="preserve">======
ID#AAAB0o-kHd4
    (2026-02-21 19:52:59)
For inductive loads (e.g., motors, solenoids) this is often called "stall current" on the data sheet</t>
      </text>
    </comment>
  </commentList>
  <extLst>
    <ext uri="GoogleSheetsCustomDataVersion2">
      <go:sheetsCustomData xmlns:go="http://customooxmlschemas.google.com/" r:id="rId1" roundtripDataSignature="AMtx7miwlGHIhEUVYMy8kBHhydeD8qTvRg=="/>
    </ext>
  </extLst>
</comments>
</file>

<file path=xl/sharedStrings.xml><?xml version="1.0" encoding="utf-8"?>
<sst xmlns="http://schemas.openxmlformats.org/spreadsheetml/2006/main" count="118" uniqueCount="61">
  <si>
    <t>Power Budget</t>
  </si>
  <si>
    <t xml:space="preserve">Team Number: </t>
  </si>
  <si>
    <t>Project Name:</t>
  </si>
  <si>
    <t>CropScout</t>
  </si>
  <si>
    <t>Team Member Names:</t>
  </si>
  <si>
    <t>Aaron, Jacob, Caleb, Cris, Isaiah, Asadbek, Tyler</t>
  </si>
  <si>
    <t>Version:</t>
  </si>
  <si>
    <t>A. List ALL major components (active devices, integrated circuits, etc.) except for power sources, voltage regulators, resistors, capacitors, or passive elements</t>
  </si>
  <si>
    <t>All Major Components</t>
  </si>
  <si>
    <t>Component Name</t>
  </si>
  <si>
    <t>Part Number</t>
  </si>
  <si>
    <t>Supply
Voltage
Range</t>
  </si>
  <si>
    <t>#</t>
  </si>
  <si>
    <t>Absolute
Maximum
Current (mA)</t>
  </si>
  <si>
    <t>Total
Current
(mA)</t>
  </si>
  <si>
    <t>Unit</t>
  </si>
  <si>
    <t>Buck Switching Regulator IC</t>
  </si>
  <si>
    <t>AP63203WU-7</t>
  </si>
  <si>
    <t>3.8 - 32V</t>
  </si>
  <si>
    <t>mA</t>
  </si>
  <si>
    <t>Inductanve to Digital Converter</t>
  </si>
  <si>
    <t>LDC1101DRCR</t>
  </si>
  <si>
    <t>1.71 - 3.46V</t>
  </si>
  <si>
    <t>Microcontroller</t>
  </si>
  <si>
    <t>PIC18F47Q10</t>
  </si>
  <si>
    <t>1.8 - 5.5V</t>
  </si>
  <si>
    <t>B. Assign each major component above to ONE power rail below. Try to minimize the number of different power rails in the design. 
Add additional power rails or change the power rail voltages if needed.</t>
  </si>
  <si>
    <t xml:space="preserve"> +3.3V Power Rail</t>
  </si>
  <si>
    <t xml:space="preserve">Subtotal </t>
  </si>
  <si>
    <t>Safety Margin</t>
  </si>
  <si>
    <t>Total Current Required on +3.3V Rail</t>
  </si>
  <si>
    <t>c4. Regulator or Source Choice</t>
  </si>
  <si>
    <t>Total Remaining Current Available on 3.3V Rail</t>
  </si>
  <si>
    <t>C. For each power rail above, select a specific voltage regulator using the same process as for major component selection. Confirm that the Total Remaining Current Available on each rail above is not negative.</t>
  </si>
  <si>
    <t>D. Select a specific external power source (wall supply or battery) for your system, and confirm that it can supply all of the regulators for all of the power rails simultaneously. If you need multiple power sources, list each separately below and indicate which regulators will be connected to each supply. Confirm that the Total Remaining Current Available on each power source below is not negative.</t>
  </si>
  <si>
    <t>External Power Source 1</t>
  </si>
  <si>
    <t>Output Voltage</t>
  </si>
  <si>
    <t>Power Source 1 Selection</t>
  </si>
  <si>
    <t>Plug-in Wall Supply</t>
  </si>
  <si>
    <t>(full part number)</t>
  </si>
  <si>
    <t>110VAC</t>
  </si>
  <si>
    <t xml:space="preserve"> +24V</t>
  </si>
  <si>
    <t>Power Rails Connected to External Power Source 1</t>
  </si>
  <si>
    <t>3.3V</t>
  </si>
  <si>
    <t>Total Remaining Current Available on External Power Source 1</t>
  </si>
  <si>
    <t>External Power Source 2</t>
  </si>
  <si>
    <t>Power Source 2 Selection</t>
  </si>
  <si>
    <t>Battery</t>
  </si>
  <si>
    <t>BL5000C21704S1PFTM104IBC1NN</t>
  </si>
  <si>
    <t xml:space="preserve"> +14.4V</t>
  </si>
  <si>
    <t>-14.4V</t>
  </si>
  <si>
    <t>Power Rails Connected to External Power Source 2</t>
  </si>
  <si>
    <t>Total Remaining Current Available on External Power Source 2</t>
  </si>
  <si>
    <t>E. Calculate Battery Life (if applicable).  For each battery, also check the worst-case lifetime of the battery by indicating the capacity in mAh.</t>
  </si>
  <si>
    <t>Capacity
(mAh)</t>
  </si>
  <si>
    <t>Required
By
Regulators</t>
  </si>
  <si>
    <t>Battery Life</t>
  </si>
  <si>
    <t>hours</t>
  </si>
  <si>
    <t>Notes</t>
  </si>
  <si>
    <t>External Supply Voltage should be determined by the dropout voltage for highest-voltage regulator (e.g., +14V for a +12V regulator).</t>
  </si>
  <si>
    <t>If you have multiple units in your design (e.g., a base unit and remote unit) then you need a separate power budget for each unit</t>
  </si>
</sst>
</file>

<file path=xl/styles.xml><?xml version="1.0" encoding="utf-8"?>
<styleSheet xmlns="http://schemas.openxmlformats.org/spreadsheetml/2006/main" xmlns:x14ac="http://schemas.microsoft.com/office/spreadsheetml/2009/9/ac" xmlns:mc="http://schemas.openxmlformats.org/markup-compatibility/2006">
  <fonts count="12">
    <font>
      <sz val="12.0"/>
      <color rgb="FF000000"/>
      <name val="Calibri"/>
      <scheme val="minor"/>
    </font>
    <font>
      <b/>
      <sz val="24.0"/>
      <color rgb="FF000000"/>
      <name val="Calibri"/>
    </font>
    <font>
      <b/>
      <sz val="12.0"/>
      <color rgb="FF000000"/>
      <name val="Calibri"/>
    </font>
    <font>
      <color theme="1"/>
      <name val="Calibri"/>
      <scheme val="minor"/>
    </font>
    <font>
      <b/>
      <sz val="12.0"/>
      <color rgb="FF000000"/>
      <name val="Arial"/>
    </font>
    <font>
      <b/>
      <i/>
      <sz val="12.0"/>
      <color rgb="FF000000"/>
      <name val="Arial"/>
    </font>
    <font/>
    <font>
      <sz val="12.0"/>
      <color rgb="FF000000"/>
      <name val="Calibri"/>
    </font>
    <font>
      <sz val="12.0"/>
      <color rgb="FF000000"/>
      <name val="Arial"/>
    </font>
    <font>
      <b/>
      <i/>
      <sz val="12.0"/>
      <color rgb="FF000000"/>
      <name val="Calibri"/>
    </font>
    <font>
      <color theme="1"/>
      <name val="Arial"/>
    </font>
    <font>
      <color rgb="FF000000"/>
      <name val="Arial"/>
    </font>
  </fonts>
  <fills count="5">
    <fill>
      <patternFill patternType="none"/>
    </fill>
    <fill>
      <patternFill patternType="lightGray"/>
    </fill>
    <fill>
      <patternFill patternType="solid">
        <fgColor rgb="FFFFFF00"/>
        <bgColor rgb="FFFFFF00"/>
      </patternFill>
    </fill>
    <fill>
      <patternFill patternType="solid">
        <fgColor rgb="FFEEECE1"/>
        <bgColor rgb="FFEEECE1"/>
      </patternFill>
    </fill>
    <fill>
      <patternFill patternType="solid">
        <fgColor rgb="FFFFFFFF"/>
        <bgColor rgb="FFFFFFFF"/>
      </patternFill>
    </fill>
  </fills>
  <borders count="1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top style="thin">
        <color rgb="FF000000"/>
      </top>
      <bottom style="thin">
        <color rgb="FF000000"/>
      </bottom>
    </border>
    <border>
      <left style="thin">
        <color rgb="FF000000"/>
      </left>
      <right style="thin">
        <color rgb="FF000000"/>
      </right>
      <bottom style="thin">
        <color rgb="FF000000"/>
      </bottom>
    </border>
    <border>
      <left style="thin">
        <color rgb="FF000000"/>
      </left>
    </border>
    <border>
      <left style="thin">
        <color rgb="FF000000"/>
      </left>
      <right style="thin">
        <color rgb="FF000000"/>
      </right>
    </border>
    <border>
      <left style="thin">
        <color rgb="FF000000"/>
      </left>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right style="thin">
        <color rgb="FF000000"/>
      </right>
    </border>
    <border>
      <left/>
      <right/>
      <bottom/>
    </border>
    <border>
      <left/>
      <right/>
      <top style="thin">
        <color rgb="FF000000"/>
      </top>
      <bottom/>
    </border>
    <border>
      <left/>
      <top style="thin">
        <color rgb="FF000000"/>
      </top>
      <bottom/>
    </border>
  </borders>
  <cellStyleXfs count="1">
    <xf borderId="0" fillId="0" fontId="0" numFmtId="0" applyAlignment="1" applyFont="1"/>
  </cellStyleXfs>
  <cellXfs count="82">
    <xf borderId="0" fillId="0" fontId="0" numFmtId="0" xfId="0" applyAlignment="1" applyFont="1">
      <alignment readingOrder="0" shrinkToFit="0" vertical="bottom" wrapText="0"/>
    </xf>
    <xf borderId="0" fillId="0" fontId="1" numFmtId="0" xfId="0" applyAlignment="1" applyFont="1">
      <alignment horizontal="center" readingOrder="0" shrinkToFit="0" wrapText="0"/>
    </xf>
    <xf borderId="1" fillId="0" fontId="2" numFmtId="0" xfId="0" applyAlignment="1" applyBorder="1" applyFont="1">
      <alignment readingOrder="0" shrinkToFit="0" wrapText="0"/>
    </xf>
    <xf borderId="1" fillId="0" fontId="3" numFmtId="0" xfId="0" applyAlignment="1" applyBorder="1" applyFont="1">
      <alignment readingOrder="0"/>
    </xf>
    <xf borderId="0" fillId="0" fontId="2" numFmtId="0" xfId="0" applyAlignment="1" applyFont="1">
      <alignment horizontal="center" shrinkToFit="0" wrapText="0"/>
    </xf>
    <xf borderId="1" fillId="0" fontId="4" numFmtId="0" xfId="0" applyAlignment="1" applyBorder="1" applyFont="1">
      <alignment shrinkToFit="0" wrapText="0"/>
    </xf>
    <xf borderId="0" fillId="0" fontId="2" numFmtId="0" xfId="0" applyAlignment="1" applyFont="1">
      <alignment shrinkToFit="0" wrapText="0"/>
    </xf>
    <xf borderId="0" fillId="0" fontId="4" numFmtId="0" xfId="0" applyAlignment="1" applyFont="1">
      <alignment shrinkToFit="0" wrapText="0"/>
    </xf>
    <xf borderId="2" fillId="2" fontId="5" numFmtId="0" xfId="0" applyAlignment="1" applyBorder="1" applyFill="1" applyFont="1">
      <alignment shrinkToFit="0" wrapText="1"/>
    </xf>
    <xf borderId="3" fillId="0" fontId="6" numFmtId="0" xfId="0" applyBorder="1" applyFont="1"/>
    <xf borderId="4" fillId="0" fontId="6" numFmtId="0" xfId="0" applyBorder="1" applyFont="1"/>
    <xf borderId="2" fillId="3" fontId="4" numFmtId="0" xfId="0" applyAlignment="1" applyBorder="1" applyFill="1" applyFont="1">
      <alignment horizontal="center" shrinkToFit="0" wrapText="1"/>
    </xf>
    <xf borderId="5" fillId="3" fontId="2" numFmtId="0" xfId="0" applyAlignment="1" applyBorder="1" applyFont="1">
      <alignment horizontal="center" shrinkToFit="0" wrapText="1"/>
    </xf>
    <xf borderId="5" fillId="3" fontId="4" numFmtId="0" xfId="0" applyAlignment="1" applyBorder="1" applyFont="1">
      <alignment horizontal="center" shrinkToFit="0" wrapText="1"/>
    </xf>
    <xf borderId="6" fillId="3" fontId="4" numFmtId="0" xfId="0" applyAlignment="1" applyBorder="1" applyFont="1">
      <alignment horizontal="center" shrinkToFit="0" wrapText="1"/>
    </xf>
    <xf borderId="7" fillId="3" fontId="4" numFmtId="0" xfId="0" applyAlignment="1" applyBorder="1" applyFont="1">
      <alignment horizontal="center" shrinkToFit="0" wrapText="1"/>
    </xf>
    <xf borderId="8" fillId="0" fontId="7" numFmtId="0" xfId="0" applyAlignment="1" applyBorder="1" applyFont="1">
      <alignment shrinkToFit="0" wrapText="0"/>
    </xf>
    <xf borderId="0" fillId="0" fontId="7" numFmtId="0" xfId="0" applyAlignment="1" applyFont="1">
      <alignment readingOrder="0" shrinkToFit="0" wrapText="0"/>
    </xf>
    <xf borderId="0" fillId="0" fontId="8" numFmtId="0" xfId="0" applyAlignment="1" applyFont="1">
      <alignment horizontal="center" readingOrder="0" shrinkToFit="0" wrapText="0"/>
    </xf>
    <xf borderId="0" fillId="0" fontId="7" numFmtId="0" xfId="0" applyAlignment="1" applyFont="1">
      <alignment horizontal="center" readingOrder="0" shrinkToFit="0" wrapText="0"/>
    </xf>
    <xf borderId="9" fillId="0" fontId="8" numFmtId="0" xfId="0" applyAlignment="1" applyBorder="1" applyFont="1">
      <alignment shrinkToFit="0" wrapText="0"/>
    </xf>
    <xf borderId="0" fillId="0" fontId="8" numFmtId="0" xfId="0" applyAlignment="1" applyFont="1">
      <alignment shrinkToFit="0" wrapText="0"/>
    </xf>
    <xf borderId="0" fillId="0" fontId="8" numFmtId="49" xfId="0" applyAlignment="1" applyFont="1" applyNumberFormat="1">
      <alignment horizontal="center" shrinkToFit="0" wrapText="0"/>
    </xf>
    <xf borderId="0" fillId="0" fontId="8" numFmtId="0" xfId="0" applyAlignment="1" applyFont="1">
      <alignment horizontal="center" shrinkToFit="0" wrapText="0"/>
    </xf>
    <xf borderId="9" fillId="0" fontId="7" numFmtId="0" xfId="0" applyAlignment="1" applyBorder="1" applyFont="1">
      <alignment shrinkToFit="0" wrapText="0"/>
    </xf>
    <xf borderId="0" fillId="0" fontId="7" numFmtId="0" xfId="0" applyAlignment="1" applyFont="1">
      <alignment shrinkToFit="0" wrapText="0"/>
    </xf>
    <xf borderId="0" fillId="0" fontId="7" numFmtId="0" xfId="0" applyAlignment="1" applyFont="1">
      <alignment horizontal="center" shrinkToFit="0" wrapText="0"/>
    </xf>
    <xf borderId="8" fillId="0" fontId="2" numFmtId="0" xfId="0" applyAlignment="1" applyBorder="1" applyFont="1">
      <alignment shrinkToFit="0" wrapText="0"/>
    </xf>
    <xf borderId="0" fillId="0" fontId="4" numFmtId="0" xfId="0" applyAlignment="1" applyFont="1">
      <alignment horizontal="center" shrinkToFit="0" wrapText="0"/>
    </xf>
    <xf borderId="9" fillId="0" fontId="2" numFmtId="0" xfId="0" applyAlignment="1" applyBorder="1" applyFont="1">
      <alignment shrinkToFit="0" wrapText="0"/>
    </xf>
    <xf borderId="10" fillId="3" fontId="5" numFmtId="0" xfId="0" applyAlignment="1" applyBorder="1" applyFont="1">
      <alignment shrinkToFit="0" wrapText="0"/>
    </xf>
    <xf borderId="5" fillId="3" fontId="2" numFmtId="0" xfId="0" applyAlignment="1" applyBorder="1" applyFont="1">
      <alignment horizontal="center" shrinkToFit="0" wrapText="0"/>
    </xf>
    <xf borderId="5" fillId="3" fontId="4" numFmtId="0" xfId="0" applyAlignment="1" applyBorder="1" applyFont="1">
      <alignment horizontal="center" shrinkToFit="0" wrapText="0"/>
    </xf>
    <xf borderId="6" fillId="3" fontId="4" numFmtId="0" xfId="0" applyAlignment="1" applyBorder="1" applyFont="1">
      <alignment horizontal="center" shrinkToFit="0" wrapText="0"/>
    </xf>
    <xf borderId="1" fillId="3" fontId="4" numFmtId="0" xfId="0" applyAlignment="1" applyBorder="1" applyFont="1">
      <alignment horizontal="center" shrinkToFit="0" wrapText="0"/>
    </xf>
    <xf borderId="0" fillId="0" fontId="9" numFmtId="0" xfId="0" applyAlignment="1" applyFont="1">
      <alignment horizontal="right" shrinkToFit="0" wrapText="0"/>
    </xf>
    <xf borderId="9" fillId="0" fontId="7" numFmtId="9" xfId="0" applyAlignment="1" applyBorder="1" applyFont="1" applyNumberFormat="1">
      <alignment shrinkToFit="0" wrapText="0"/>
    </xf>
    <xf borderId="0" fillId="0" fontId="5" numFmtId="0" xfId="0" applyAlignment="1" applyFont="1">
      <alignment horizontal="right" shrinkToFit="0" wrapText="0"/>
    </xf>
    <xf borderId="8" fillId="0" fontId="5" numFmtId="0" xfId="0" applyAlignment="1" applyBorder="1" applyFont="1">
      <alignment horizontal="left" shrinkToFit="0" wrapText="0"/>
    </xf>
    <xf borderId="0" fillId="0" fontId="5" numFmtId="49" xfId="0" applyAlignment="1" applyFont="1" applyNumberFormat="1">
      <alignment horizontal="right" shrinkToFit="0" wrapText="0"/>
    </xf>
    <xf borderId="9" fillId="0" fontId="7" numFmtId="0" xfId="0" applyAlignment="1" applyBorder="1" applyFont="1">
      <alignment horizontal="right" shrinkToFit="0" wrapText="0"/>
    </xf>
    <xf borderId="8" fillId="0" fontId="5" numFmtId="0" xfId="0" applyAlignment="1" applyBorder="1" applyFont="1">
      <alignment shrinkToFit="0" wrapText="1"/>
    </xf>
    <xf borderId="0" fillId="0" fontId="5" numFmtId="0" xfId="0" applyAlignment="1" applyFont="1">
      <alignment shrinkToFit="0" wrapText="1"/>
    </xf>
    <xf borderId="8" fillId="0" fontId="5" numFmtId="0" xfId="0" applyAlignment="1" applyBorder="1" applyFont="1">
      <alignment shrinkToFit="0" wrapText="0"/>
    </xf>
    <xf borderId="9" fillId="0" fontId="5" numFmtId="0" xfId="0" applyAlignment="1" applyBorder="1" applyFont="1">
      <alignment shrinkToFit="0" wrapText="0"/>
    </xf>
    <xf borderId="11" fillId="0" fontId="5" numFmtId="0" xfId="0" applyAlignment="1" applyBorder="1" applyFont="1">
      <alignment shrinkToFit="0" wrapText="1"/>
    </xf>
    <xf borderId="12" fillId="0" fontId="6" numFmtId="0" xfId="0" applyBorder="1" applyFont="1"/>
    <xf borderId="13" fillId="0" fontId="6" numFmtId="0" xfId="0" applyBorder="1" applyFont="1"/>
    <xf borderId="8" fillId="0" fontId="4" numFmtId="0" xfId="0" applyAlignment="1" applyBorder="1" applyFont="1">
      <alignment horizontal="left" shrinkToFit="0" wrapText="0"/>
    </xf>
    <xf borderId="0" fillId="0" fontId="8" numFmtId="0" xfId="0" applyAlignment="1" applyFont="1">
      <alignment horizontal="left" shrinkToFit="0" wrapText="0"/>
    </xf>
    <xf borderId="0" fillId="0" fontId="8" numFmtId="0" xfId="0" applyAlignment="1" applyFont="1">
      <alignment horizontal="right" shrinkToFit="0" wrapText="0"/>
    </xf>
    <xf borderId="9" fillId="0" fontId="8" numFmtId="0" xfId="0" applyAlignment="1" applyBorder="1" applyFont="1">
      <alignment horizontal="right" shrinkToFit="0" wrapText="0"/>
    </xf>
    <xf borderId="14" fillId="0" fontId="8" numFmtId="0" xfId="0" applyAlignment="1" applyBorder="1" applyFont="1">
      <alignment horizontal="left" shrinkToFit="0" wrapText="0"/>
    </xf>
    <xf borderId="8" fillId="0" fontId="4" numFmtId="0" xfId="0" applyAlignment="1" applyBorder="1" applyFont="1">
      <alignment horizontal="center" shrinkToFit="0" wrapText="0"/>
    </xf>
    <xf borderId="14" fillId="0" fontId="8" numFmtId="0" xfId="0" applyAlignment="1" applyBorder="1" applyFont="1">
      <alignment shrinkToFit="0" wrapText="0"/>
    </xf>
    <xf borderId="8" fillId="0" fontId="4" numFmtId="0" xfId="0" applyAlignment="1" applyBorder="1" applyFont="1">
      <alignment horizontal="left" shrinkToFit="0" vertical="center" wrapText="1"/>
    </xf>
    <xf borderId="0" fillId="0" fontId="7" numFmtId="0" xfId="0" applyAlignment="1" applyFont="1">
      <alignment readingOrder="0" shrinkToFit="0" vertical="center" wrapText="0"/>
    </xf>
    <xf borderId="0" fillId="0" fontId="8" numFmtId="0" xfId="0" applyAlignment="1" applyFont="1">
      <alignment horizontal="center" readingOrder="0" shrinkToFit="0" vertical="center" wrapText="0"/>
    </xf>
    <xf borderId="0" fillId="0" fontId="7" numFmtId="0" xfId="0" applyAlignment="1" applyFont="1">
      <alignment horizontal="center" readingOrder="0" shrinkToFit="0" vertical="center" wrapText="0"/>
    </xf>
    <xf borderId="8" fillId="0" fontId="6" numFmtId="0" xfId="0" applyBorder="1" applyFont="1"/>
    <xf borderId="9" fillId="0" fontId="6" numFmtId="0" xfId="0" applyBorder="1" applyFont="1"/>
    <xf borderId="9" fillId="0" fontId="4" numFmtId="0" xfId="0" applyAlignment="1" applyBorder="1" applyFont="1">
      <alignment horizontal="center" shrinkToFit="0" wrapText="0"/>
    </xf>
    <xf borderId="14" fillId="0" fontId="4" numFmtId="0" xfId="0" applyAlignment="1" applyBorder="1" applyFont="1">
      <alignment horizontal="center" shrinkToFit="0" wrapText="0"/>
    </xf>
    <xf borderId="0" fillId="0" fontId="8" numFmtId="0" xfId="0" applyAlignment="1" applyFont="1">
      <alignment horizontal="center" readingOrder="0" shrinkToFit="0" wrapText="1"/>
    </xf>
    <xf borderId="0" fillId="0" fontId="8" numFmtId="0" xfId="0" applyAlignment="1" applyFont="1">
      <alignment horizontal="right" readingOrder="0" shrinkToFit="0" wrapText="0"/>
    </xf>
    <xf borderId="9" fillId="0" fontId="8" numFmtId="0" xfId="0" applyAlignment="1" applyBorder="1" applyFont="1">
      <alignment horizontal="right" readingOrder="0" shrinkToFit="0" wrapText="0"/>
    </xf>
    <xf borderId="8" fillId="0" fontId="9" numFmtId="0" xfId="0" applyAlignment="1" applyBorder="1" applyFont="1">
      <alignment shrinkToFit="0" wrapText="0"/>
    </xf>
    <xf borderId="0" fillId="0" fontId="10" numFmtId="0" xfId="0" applyFont="1"/>
    <xf borderId="9" fillId="0" fontId="7" numFmtId="0" xfId="0" applyAlignment="1" applyBorder="1" applyFont="1">
      <alignment horizontal="center" shrinkToFit="0" wrapText="0"/>
    </xf>
    <xf borderId="1" fillId="2" fontId="9" numFmtId="0" xfId="0" applyAlignment="1" applyBorder="1" applyFont="1">
      <alignment shrinkToFit="0" wrapText="0"/>
    </xf>
    <xf borderId="8" fillId="3" fontId="2" numFmtId="0" xfId="0" applyAlignment="1" applyBorder="1" applyFont="1">
      <alignment shrinkToFit="0" wrapText="0"/>
    </xf>
    <xf borderId="15" fillId="3" fontId="2" numFmtId="0" xfId="0" applyAlignment="1" applyBorder="1" applyFont="1">
      <alignment shrinkToFit="0" wrapText="0"/>
    </xf>
    <xf borderId="16" fillId="3" fontId="4" numFmtId="0" xfId="0" applyAlignment="1" applyBorder="1" applyFont="1">
      <alignment horizontal="center" shrinkToFit="0" wrapText="0"/>
    </xf>
    <xf borderId="17" fillId="3" fontId="4" numFmtId="0" xfId="0" applyAlignment="1" applyBorder="1" applyFont="1">
      <alignment horizontal="center" shrinkToFit="0" wrapText="0"/>
    </xf>
    <xf borderId="9" fillId="3" fontId="4" numFmtId="0" xfId="0" applyAlignment="1" applyBorder="1" applyFont="1">
      <alignment horizontal="center" shrinkToFit="0" wrapText="0"/>
    </xf>
    <xf borderId="9" fillId="3" fontId="2" numFmtId="0" xfId="0" applyAlignment="1" applyBorder="1" applyFont="1">
      <alignment shrinkToFit="0" wrapText="0"/>
    </xf>
    <xf borderId="0" fillId="0" fontId="7" numFmtId="0" xfId="0" applyAlignment="1" applyFont="1">
      <alignment readingOrder="0" shrinkToFit="0" wrapText="1"/>
    </xf>
    <xf borderId="0" fillId="0" fontId="8" numFmtId="0" xfId="0" applyAlignment="1" applyFont="1">
      <alignment readingOrder="0" shrinkToFit="0" wrapText="0"/>
    </xf>
    <xf borderId="0" fillId="2" fontId="5" numFmtId="0" xfId="0" applyAlignment="1" applyFont="1">
      <alignment shrinkToFit="0" wrapText="0"/>
    </xf>
    <xf borderId="0" fillId="2" fontId="7" numFmtId="0" xfId="0" applyAlignment="1" applyFont="1">
      <alignment shrinkToFit="0" wrapText="0"/>
    </xf>
    <xf borderId="0" fillId="0" fontId="8" numFmtId="0" xfId="0" applyAlignment="1" applyFont="1">
      <alignment shrinkToFit="0" wrapText="1"/>
    </xf>
    <xf borderId="0" fillId="4" fontId="11" numFmtId="0" xfId="0" applyAlignment="1" applyFill="1" applyFont="1">
      <alignment horizontal="left" shrinkToFit="0" wrapText="1"/>
    </xf>
  </cellXfs>
  <cellStyles count="1">
    <cellStyle xfId="0" name="Normal" builtinId="0"/>
  </cellStyles>
  <dxfs count="1">
    <dxf>
      <font>
        <color rgb="FF000000"/>
      </font>
      <fill>
        <patternFill patternType="solid">
          <fgColor rgb="FFF4CCCC"/>
          <bgColor rgb="FFF4CCCC"/>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1.22" defaultRowHeight="15.0"/>
  <cols>
    <col customWidth="1" min="1" max="1" width="29.89"/>
    <col customWidth="1" min="2" max="2" width="23.11"/>
    <col customWidth="1" min="3" max="3" width="13.44"/>
    <col customWidth="1" min="4" max="4" width="11.44"/>
    <col customWidth="1" min="5" max="5" width="7.67"/>
    <col customWidth="1" min="6" max="6" width="12.33"/>
    <col customWidth="1" min="7" max="7" width="12.67"/>
    <col customWidth="1" min="8" max="8" width="9.0"/>
    <col customWidth="1" min="9" max="26" width="13.44"/>
  </cols>
  <sheetData>
    <row r="1" ht="30.0" customHeight="1">
      <c r="A1" s="1" t="s">
        <v>0</v>
      </c>
    </row>
    <row r="2" ht="15.0" customHeight="1">
      <c r="A2" s="2" t="s">
        <v>1</v>
      </c>
      <c r="B2" s="3">
        <v>202.0</v>
      </c>
      <c r="D2" s="4"/>
      <c r="E2" s="4"/>
    </row>
    <row r="3" ht="15.0" customHeight="1">
      <c r="A3" s="5" t="s">
        <v>2</v>
      </c>
      <c r="B3" s="2" t="s">
        <v>3</v>
      </c>
      <c r="C3" s="6"/>
      <c r="D3" s="4"/>
      <c r="E3" s="4"/>
      <c r="F3" s="6"/>
      <c r="G3" s="6"/>
      <c r="H3" s="6"/>
    </row>
    <row r="4" ht="15.0" customHeight="1">
      <c r="A4" s="5" t="s">
        <v>4</v>
      </c>
      <c r="B4" s="2" t="s">
        <v>5</v>
      </c>
      <c r="C4" s="6"/>
      <c r="D4" s="4"/>
      <c r="E4" s="4"/>
      <c r="F4" s="6"/>
      <c r="G4" s="6"/>
      <c r="H4" s="6"/>
    </row>
    <row r="5" ht="15.0" customHeight="1">
      <c r="A5" s="5" t="s">
        <v>6</v>
      </c>
      <c r="B5" s="2">
        <v>1.0</v>
      </c>
      <c r="C5" s="6"/>
      <c r="D5" s="4"/>
      <c r="E5" s="4"/>
      <c r="F5" s="6"/>
      <c r="G5" s="6"/>
      <c r="H5" s="6"/>
    </row>
    <row r="6" ht="15.0" customHeight="1">
      <c r="A6" s="7"/>
      <c r="B6" s="6"/>
      <c r="C6" s="6"/>
      <c r="D6" s="4"/>
      <c r="E6" s="4"/>
      <c r="F6" s="6"/>
      <c r="G6" s="6"/>
      <c r="H6" s="6"/>
    </row>
    <row r="7" ht="36.0" customHeight="1">
      <c r="A7" s="8" t="s">
        <v>7</v>
      </c>
      <c r="B7" s="9"/>
      <c r="C7" s="9"/>
      <c r="D7" s="9"/>
      <c r="E7" s="9"/>
      <c r="F7" s="9"/>
      <c r="G7" s="9"/>
      <c r="H7" s="10"/>
    </row>
    <row r="8" ht="45.75" customHeight="1">
      <c r="A8" s="11" t="s">
        <v>8</v>
      </c>
      <c r="B8" s="12" t="s">
        <v>9</v>
      </c>
      <c r="C8" s="12" t="s">
        <v>10</v>
      </c>
      <c r="D8" s="13" t="s">
        <v>11</v>
      </c>
      <c r="E8" s="13" t="s">
        <v>12</v>
      </c>
      <c r="F8" s="14" t="s">
        <v>13</v>
      </c>
      <c r="G8" s="15" t="s">
        <v>14</v>
      </c>
      <c r="H8" s="15" t="s">
        <v>15</v>
      </c>
    </row>
    <row r="9" ht="15.0" customHeight="1">
      <c r="A9" s="16"/>
      <c r="B9" s="17" t="s">
        <v>16</v>
      </c>
      <c r="C9" s="17" t="s">
        <v>17</v>
      </c>
      <c r="D9" s="18" t="s">
        <v>18</v>
      </c>
      <c r="E9" s="19">
        <v>1.0</v>
      </c>
      <c r="F9" s="17">
        <v>2000.0</v>
      </c>
      <c r="G9" s="17">
        <v>2000.0</v>
      </c>
      <c r="H9" s="20" t="s">
        <v>19</v>
      </c>
    </row>
    <row r="10" ht="15.0" customHeight="1">
      <c r="A10" s="16"/>
      <c r="B10" s="17" t="s">
        <v>20</v>
      </c>
      <c r="C10" s="17" t="s">
        <v>21</v>
      </c>
      <c r="D10" s="18" t="s">
        <v>22</v>
      </c>
      <c r="E10" s="19">
        <v>1.0</v>
      </c>
      <c r="F10" s="17">
        <v>2.7</v>
      </c>
      <c r="G10" s="17">
        <v>2.7</v>
      </c>
      <c r="H10" s="20" t="s">
        <v>19</v>
      </c>
    </row>
    <row r="11" ht="15.0" customHeight="1">
      <c r="A11" s="16"/>
      <c r="B11" s="17" t="s">
        <v>23</v>
      </c>
      <c r="C11" s="17" t="s">
        <v>24</v>
      </c>
      <c r="D11" s="19" t="s">
        <v>25</v>
      </c>
      <c r="E11" s="19">
        <v>1.0</v>
      </c>
      <c r="F11" s="17">
        <v>400.0</v>
      </c>
      <c r="G11" s="17">
        <v>400.0</v>
      </c>
      <c r="H11" s="20" t="s">
        <v>19</v>
      </c>
    </row>
    <row r="12" ht="15.0" customHeight="1">
      <c r="A12" s="16"/>
      <c r="B12" s="21"/>
      <c r="C12" s="21"/>
      <c r="D12" s="22"/>
      <c r="E12" s="23"/>
      <c r="F12" s="21"/>
      <c r="G12" s="24"/>
      <c r="H12" s="20"/>
    </row>
    <row r="13" ht="15.0" customHeight="1">
      <c r="A13" s="16"/>
      <c r="B13" s="25"/>
      <c r="C13" s="21"/>
      <c r="D13" s="23"/>
      <c r="E13" s="26"/>
      <c r="F13" s="25"/>
      <c r="G13" s="24"/>
      <c r="H13" s="20"/>
    </row>
    <row r="14" ht="15.0" customHeight="1">
      <c r="A14" s="16"/>
      <c r="B14" s="21"/>
      <c r="C14" s="25"/>
      <c r="D14" s="23"/>
      <c r="E14" s="26"/>
      <c r="F14" s="25"/>
      <c r="G14" s="24"/>
      <c r="H14" s="20"/>
    </row>
    <row r="15" ht="15.0" customHeight="1">
      <c r="A15" s="27"/>
      <c r="B15" s="7"/>
      <c r="C15" s="6"/>
      <c r="D15" s="28"/>
      <c r="E15" s="4"/>
      <c r="F15" s="6"/>
      <c r="G15" s="29"/>
      <c r="H15" s="29"/>
    </row>
    <row r="16" ht="31.5" customHeight="1">
      <c r="A16" s="8" t="s">
        <v>26</v>
      </c>
      <c r="B16" s="9"/>
      <c r="C16" s="9"/>
      <c r="D16" s="9"/>
      <c r="E16" s="9"/>
      <c r="F16" s="9"/>
      <c r="G16" s="9"/>
      <c r="H16" s="10"/>
    </row>
    <row r="17" ht="43.5" customHeight="1">
      <c r="A17" s="30" t="s">
        <v>27</v>
      </c>
      <c r="B17" s="31" t="s">
        <v>9</v>
      </c>
      <c r="C17" s="31" t="s">
        <v>10</v>
      </c>
      <c r="D17" s="32" t="s">
        <v>11</v>
      </c>
      <c r="E17" s="32" t="s">
        <v>12</v>
      </c>
      <c r="F17" s="33" t="s">
        <v>13</v>
      </c>
      <c r="G17" s="34" t="s">
        <v>14</v>
      </c>
      <c r="H17" s="34" t="s">
        <v>15</v>
      </c>
    </row>
    <row r="18" ht="15.0" customHeight="1">
      <c r="A18" s="16"/>
      <c r="B18" s="17" t="s">
        <v>20</v>
      </c>
      <c r="C18" s="17" t="s">
        <v>21</v>
      </c>
      <c r="D18" s="18" t="s">
        <v>22</v>
      </c>
      <c r="E18" s="19">
        <v>1.0</v>
      </c>
      <c r="F18" s="17">
        <v>2.7</v>
      </c>
      <c r="G18" s="17">
        <v>2.7</v>
      </c>
      <c r="H18" s="20" t="s">
        <v>19</v>
      </c>
    </row>
    <row r="19" ht="15.0" customHeight="1">
      <c r="A19" s="16"/>
      <c r="B19" s="17" t="s">
        <v>23</v>
      </c>
      <c r="C19" s="17" t="s">
        <v>24</v>
      </c>
      <c r="D19" s="19" t="s">
        <v>25</v>
      </c>
      <c r="E19" s="19">
        <v>1.0</v>
      </c>
      <c r="F19" s="17">
        <v>400.0</v>
      </c>
      <c r="G19" s="17">
        <v>400.0</v>
      </c>
      <c r="H19" s="20" t="s">
        <v>19</v>
      </c>
    </row>
    <row r="20" ht="15.0" customHeight="1">
      <c r="A20" s="16"/>
      <c r="B20" s="25"/>
      <c r="C20" s="25"/>
      <c r="D20" s="26"/>
      <c r="E20" s="26"/>
      <c r="F20" s="25"/>
      <c r="G20" s="24">
        <f t="shared" ref="G20:G21" si="1">E20*F20</f>
        <v>0</v>
      </c>
      <c r="H20" s="20" t="s">
        <v>19</v>
      </c>
    </row>
    <row r="21" ht="15.0" customHeight="1">
      <c r="A21" s="16"/>
      <c r="B21" s="25"/>
      <c r="C21" s="25"/>
      <c r="D21" s="26"/>
      <c r="E21" s="26"/>
      <c r="F21" s="25"/>
      <c r="G21" s="24">
        <f t="shared" si="1"/>
        <v>0</v>
      </c>
      <c r="H21" s="20" t="s">
        <v>19</v>
      </c>
    </row>
    <row r="22" ht="15.0" customHeight="1">
      <c r="A22" s="16"/>
      <c r="B22" s="35" t="s">
        <v>28</v>
      </c>
      <c r="G22" s="24">
        <f>SUM(G17:G21)</f>
        <v>402.7</v>
      </c>
      <c r="H22" s="20" t="s">
        <v>19</v>
      </c>
    </row>
    <row r="23" ht="15.0" customHeight="1">
      <c r="A23" s="16"/>
      <c r="B23" s="35" t="s">
        <v>29</v>
      </c>
      <c r="G23" s="36">
        <v>0.25</v>
      </c>
      <c r="H23" s="36"/>
    </row>
    <row r="24" ht="15.0" customHeight="1">
      <c r="A24" s="16"/>
      <c r="B24" s="37" t="s">
        <v>30</v>
      </c>
      <c r="G24" s="24">
        <f>G22*(1+G23)</f>
        <v>503.375</v>
      </c>
      <c r="H24" s="20" t="s">
        <v>19</v>
      </c>
    </row>
    <row r="25" ht="15.0" customHeight="1">
      <c r="A25" s="38"/>
      <c r="B25" s="21"/>
      <c r="C25" s="25"/>
      <c r="D25" s="23"/>
      <c r="E25" s="26"/>
      <c r="F25" s="25"/>
      <c r="G25" s="24"/>
      <c r="H25" s="29"/>
    </row>
    <row r="26" ht="15.0" customHeight="1">
      <c r="A26" s="38" t="s">
        <v>31</v>
      </c>
      <c r="B26" s="17" t="s">
        <v>16</v>
      </c>
      <c r="C26" s="17" t="s">
        <v>17</v>
      </c>
      <c r="D26" s="18" t="s">
        <v>18</v>
      </c>
      <c r="E26" s="19">
        <v>1.0</v>
      </c>
      <c r="F26" s="17">
        <v>2000.0</v>
      </c>
      <c r="G26" s="17">
        <v>2000.0</v>
      </c>
      <c r="H26" s="20" t="s">
        <v>19</v>
      </c>
    </row>
    <row r="27" ht="15.0" customHeight="1">
      <c r="A27" s="16"/>
      <c r="B27" s="39" t="s">
        <v>32</v>
      </c>
      <c r="G27" s="40">
        <f>G26-G24</f>
        <v>1496.625</v>
      </c>
      <c r="H27" s="20" t="s">
        <v>19</v>
      </c>
    </row>
    <row r="28" ht="15.0" customHeight="1">
      <c r="A28" s="41"/>
      <c r="B28" s="42"/>
      <c r="C28" s="42"/>
      <c r="D28" s="42"/>
      <c r="E28" s="42"/>
      <c r="F28" s="42"/>
      <c r="G28" s="43"/>
      <c r="H28" s="44"/>
    </row>
    <row r="29" ht="37.5" customHeight="1">
      <c r="A29" s="8" t="s">
        <v>33</v>
      </c>
      <c r="B29" s="9"/>
      <c r="C29" s="9"/>
      <c r="D29" s="9"/>
      <c r="E29" s="9"/>
      <c r="F29" s="9"/>
      <c r="G29" s="9"/>
      <c r="H29" s="10"/>
    </row>
    <row r="30" ht="15.0" customHeight="1">
      <c r="A30" s="45"/>
      <c r="B30" s="46"/>
      <c r="C30" s="46"/>
      <c r="D30" s="46"/>
      <c r="E30" s="46"/>
      <c r="F30" s="46"/>
      <c r="G30" s="46"/>
      <c r="H30" s="47"/>
    </row>
    <row r="31" ht="49.5" customHeight="1">
      <c r="A31" s="8" t="s">
        <v>34</v>
      </c>
      <c r="B31" s="9"/>
      <c r="C31" s="9"/>
      <c r="D31" s="9"/>
      <c r="E31" s="9"/>
      <c r="F31" s="9"/>
      <c r="G31" s="9"/>
      <c r="H31" s="10"/>
    </row>
    <row r="32" ht="51.0" customHeight="1">
      <c r="A32" s="30" t="s">
        <v>35</v>
      </c>
      <c r="B32" s="31" t="s">
        <v>9</v>
      </c>
      <c r="C32" s="31" t="s">
        <v>10</v>
      </c>
      <c r="D32" s="32" t="s">
        <v>11</v>
      </c>
      <c r="E32" s="13" t="s">
        <v>36</v>
      </c>
      <c r="F32" s="33" t="s">
        <v>13</v>
      </c>
      <c r="G32" s="34" t="s">
        <v>14</v>
      </c>
      <c r="H32" s="34" t="s">
        <v>15</v>
      </c>
    </row>
    <row r="33" ht="15.0" customHeight="1">
      <c r="A33" s="48" t="s">
        <v>37</v>
      </c>
      <c r="B33" s="49" t="s">
        <v>38</v>
      </c>
      <c r="C33" s="23" t="s">
        <v>39</v>
      </c>
      <c r="D33" s="23" t="s">
        <v>40</v>
      </c>
      <c r="E33" s="23" t="s">
        <v>41</v>
      </c>
      <c r="F33" s="50">
        <v>5000.0</v>
      </c>
      <c r="G33" s="51">
        <v>5000.0</v>
      </c>
      <c r="H33" s="52" t="s">
        <v>19</v>
      </c>
    </row>
    <row r="34" ht="15.0" customHeight="1">
      <c r="A34" s="53"/>
      <c r="B34" s="49"/>
      <c r="C34" s="49"/>
      <c r="D34" s="23"/>
      <c r="E34" s="23"/>
      <c r="F34" s="50"/>
      <c r="G34" s="40"/>
      <c r="H34" s="54"/>
    </row>
    <row r="35" ht="15.0" customHeight="1">
      <c r="A35" s="55" t="s">
        <v>42</v>
      </c>
      <c r="B35" s="56" t="s">
        <v>16</v>
      </c>
      <c r="C35" s="56" t="s">
        <v>17</v>
      </c>
      <c r="D35" s="57" t="s">
        <v>18</v>
      </c>
      <c r="E35" s="58" t="s">
        <v>43</v>
      </c>
      <c r="F35" s="56">
        <v>2000.0</v>
      </c>
      <c r="G35" s="56">
        <v>2000.0</v>
      </c>
      <c r="H35" s="20" t="s">
        <v>19</v>
      </c>
    </row>
    <row r="36" ht="15.0" customHeight="1">
      <c r="A36" s="59"/>
      <c r="H36" s="60"/>
    </row>
    <row r="37" ht="15.0" customHeight="1">
      <c r="A37" s="59"/>
      <c r="H37" s="60"/>
    </row>
    <row r="38" ht="15.0" customHeight="1">
      <c r="A38" s="53"/>
      <c r="B38" s="39" t="s">
        <v>44</v>
      </c>
      <c r="G38" s="51">
        <f>G33-sum(G35:G37)</f>
        <v>3000</v>
      </c>
      <c r="H38" s="52" t="s">
        <v>19</v>
      </c>
    </row>
    <row r="39" ht="15.0" customHeight="1">
      <c r="A39" s="53"/>
      <c r="B39" s="4"/>
      <c r="C39" s="4"/>
      <c r="D39" s="28"/>
      <c r="E39" s="28"/>
      <c r="F39" s="28"/>
      <c r="G39" s="61"/>
      <c r="H39" s="62"/>
    </row>
    <row r="40" ht="45.75" customHeight="1">
      <c r="A40" s="30" t="s">
        <v>45</v>
      </c>
      <c r="B40" s="31" t="s">
        <v>9</v>
      </c>
      <c r="C40" s="31" t="s">
        <v>10</v>
      </c>
      <c r="D40" s="32" t="s">
        <v>11</v>
      </c>
      <c r="E40" s="13" t="s">
        <v>36</v>
      </c>
      <c r="F40" s="33" t="s">
        <v>13</v>
      </c>
      <c r="G40" s="34" t="s">
        <v>14</v>
      </c>
      <c r="H40" s="34" t="s">
        <v>15</v>
      </c>
    </row>
    <row r="41" ht="51.75" customHeight="1">
      <c r="A41" s="48" t="s">
        <v>46</v>
      </c>
      <c r="B41" s="49" t="s">
        <v>47</v>
      </c>
      <c r="C41" s="63" t="s">
        <v>48</v>
      </c>
      <c r="D41" s="18" t="s">
        <v>49</v>
      </c>
      <c r="E41" s="18" t="s">
        <v>50</v>
      </c>
      <c r="F41" s="64">
        <v>5000.0</v>
      </c>
      <c r="G41" s="65">
        <v>5000.0</v>
      </c>
      <c r="H41" s="52" t="s">
        <v>19</v>
      </c>
    </row>
    <row r="42" ht="15.0" customHeight="1">
      <c r="A42" s="53"/>
      <c r="B42" s="49"/>
      <c r="C42" s="49"/>
      <c r="D42" s="23"/>
      <c r="E42" s="23"/>
      <c r="F42" s="50"/>
      <c r="G42" s="40"/>
      <c r="H42" s="54"/>
    </row>
    <row r="43" ht="15.0" customHeight="1">
      <c r="A43" s="55" t="s">
        <v>51</v>
      </c>
      <c r="B43" s="56" t="s">
        <v>16</v>
      </c>
      <c r="C43" s="56" t="s">
        <v>17</v>
      </c>
      <c r="D43" s="57" t="s">
        <v>18</v>
      </c>
      <c r="E43" s="58" t="s">
        <v>43</v>
      </c>
      <c r="F43" s="56">
        <v>2000.0</v>
      </c>
      <c r="G43" s="56">
        <v>2000.0</v>
      </c>
      <c r="H43" s="20" t="s">
        <v>19</v>
      </c>
    </row>
    <row r="44" ht="15.0" customHeight="1">
      <c r="A44" s="59"/>
      <c r="H44" s="20"/>
    </row>
    <row r="45" ht="15.0" customHeight="1">
      <c r="A45" s="59"/>
      <c r="H45" s="20"/>
    </row>
    <row r="46" ht="15.0" customHeight="1">
      <c r="A46" s="53"/>
      <c r="B46" s="39" t="s">
        <v>52</v>
      </c>
      <c r="G46" s="51">
        <f>G41-sum(G43:G45)</f>
        <v>3000</v>
      </c>
      <c r="H46" s="52" t="s">
        <v>19</v>
      </c>
    </row>
    <row r="47" ht="15.0" customHeight="1">
      <c r="A47" s="66"/>
      <c r="B47" s="21"/>
      <c r="C47" s="25"/>
      <c r="D47" s="67"/>
      <c r="E47" s="23"/>
      <c r="F47" s="21"/>
      <c r="G47" s="24"/>
      <c r="H47" s="68"/>
    </row>
    <row r="48" ht="32.25" customHeight="1">
      <c r="A48" s="8" t="s">
        <v>53</v>
      </c>
      <c r="B48" s="9"/>
      <c r="C48" s="9"/>
      <c r="D48" s="9"/>
      <c r="E48" s="9"/>
      <c r="F48" s="9"/>
      <c r="G48" s="69"/>
      <c r="H48" s="69"/>
    </row>
    <row r="49" ht="50.25" customHeight="1">
      <c r="A49" s="70"/>
      <c r="B49" s="71" t="s">
        <v>9</v>
      </c>
      <c r="C49" s="71" t="s">
        <v>10</v>
      </c>
      <c r="D49" s="72" t="s">
        <v>11</v>
      </c>
      <c r="E49" s="72"/>
      <c r="F49" s="73" t="s">
        <v>54</v>
      </c>
      <c r="G49" s="74" t="s">
        <v>55</v>
      </c>
      <c r="H49" s="75"/>
    </row>
    <row r="50" ht="37.5" customHeight="1">
      <c r="A50" s="16"/>
      <c r="B50" s="25" t="s">
        <v>47</v>
      </c>
      <c r="C50" s="76" t="s">
        <v>48</v>
      </c>
      <c r="D50" s="18">
        <f>14.4</f>
        <v>14.4</v>
      </c>
      <c r="E50" s="26"/>
      <c r="F50" s="77">
        <v>5000.0</v>
      </c>
      <c r="G50" s="77">
        <v>2000.0</v>
      </c>
      <c r="H50" s="24"/>
    </row>
    <row r="51" ht="15.0" customHeight="1">
      <c r="A51" s="16"/>
      <c r="B51" s="25"/>
      <c r="C51" s="25"/>
      <c r="D51" s="26"/>
      <c r="E51" s="26"/>
      <c r="F51" s="35" t="s">
        <v>56</v>
      </c>
      <c r="G51" s="24">
        <f>F50/G50</f>
        <v>2.5</v>
      </c>
      <c r="H51" s="20" t="s">
        <v>57</v>
      </c>
    </row>
    <row r="52" ht="15.0" customHeight="1">
      <c r="A52" s="78" t="s">
        <v>58</v>
      </c>
      <c r="G52" s="79"/>
      <c r="H52" s="79"/>
    </row>
    <row r="53" ht="15.0" customHeight="1">
      <c r="A53" s="80" t="s">
        <v>59</v>
      </c>
    </row>
    <row r="54" ht="15.0" customHeight="1">
      <c r="A54" s="81" t="s">
        <v>60</v>
      </c>
    </row>
    <row r="55" ht="15.0" customHeight="1"/>
    <row r="56" ht="15.0" customHeight="1"/>
    <row r="57" ht="15.0" customHeight="1"/>
    <row r="58" ht="15.0" customHeight="1"/>
    <row r="59" ht="15.0" customHeight="1"/>
    <row r="60" ht="15.0" customHeight="1"/>
    <row r="61" ht="15.0" customHeight="1"/>
    <row r="62" ht="15.0" customHeight="1"/>
    <row r="63" ht="15.0" customHeight="1"/>
    <row r="64" ht="15.0" customHeight="1"/>
    <row r="65" ht="15.0" customHeight="1"/>
    <row r="66" ht="15.0" customHeight="1"/>
    <row r="67" ht="15.0" customHeight="1"/>
    <row r="68" ht="15.0" customHeight="1"/>
    <row r="69" ht="15.0" customHeight="1"/>
    <row r="70" ht="15.0" customHeight="1"/>
    <row r="71" ht="15.0" customHeight="1"/>
    <row r="72" ht="15.0" customHeight="1"/>
    <row r="73" ht="15.0" customHeight="1"/>
    <row r="74" ht="15.0" customHeight="1"/>
    <row r="75" ht="15.0" customHeight="1"/>
    <row r="76" ht="15.0" customHeight="1"/>
    <row r="77" ht="15.0" customHeight="1"/>
    <row r="78" ht="15.0" customHeight="1"/>
    <row r="79" ht="15.0" customHeight="1"/>
    <row r="80" ht="15.0" customHeight="1"/>
    <row r="81" ht="15.0" customHeight="1"/>
    <row r="82" ht="15.0" customHeight="1"/>
    <row r="83" ht="15.0" customHeight="1"/>
    <row r="84" ht="15.0" customHeight="1"/>
    <row r="85" ht="15.0" customHeight="1"/>
    <row r="86" ht="15.0" customHeight="1"/>
    <row r="87" ht="15.0" customHeight="1"/>
    <row r="88" ht="15.0" customHeight="1"/>
    <row r="89" ht="15.0"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A1:H1"/>
    <mergeCell ref="A7:H7"/>
    <mergeCell ref="A16:H16"/>
    <mergeCell ref="B22:F22"/>
    <mergeCell ref="B23:F23"/>
    <mergeCell ref="B24:F24"/>
    <mergeCell ref="B27:F27"/>
    <mergeCell ref="E35:E37"/>
    <mergeCell ref="F35:F37"/>
    <mergeCell ref="G35:G37"/>
    <mergeCell ref="H35:H37"/>
    <mergeCell ref="A29:H29"/>
    <mergeCell ref="A30:H30"/>
    <mergeCell ref="A31:H31"/>
    <mergeCell ref="B35:B37"/>
    <mergeCell ref="C35:C37"/>
    <mergeCell ref="D35:D37"/>
    <mergeCell ref="B38:F38"/>
    <mergeCell ref="F43:F45"/>
    <mergeCell ref="B46:F46"/>
    <mergeCell ref="A48:F48"/>
    <mergeCell ref="A52:F52"/>
    <mergeCell ref="A53:H53"/>
    <mergeCell ref="A54:H54"/>
    <mergeCell ref="A35:A37"/>
    <mergeCell ref="A43:A45"/>
    <mergeCell ref="B43:B45"/>
    <mergeCell ref="C43:C45"/>
    <mergeCell ref="D43:D45"/>
    <mergeCell ref="E43:E45"/>
    <mergeCell ref="G43:G45"/>
  </mergeCells>
  <conditionalFormatting sqref="G27">
    <cfRule type="cellIs" dxfId="0" priority="1" operator="lessThan">
      <formula>0</formula>
    </cfRule>
  </conditionalFormatting>
  <printOptions gridLines="1" horizontalCentered="1"/>
  <pageMargins bottom="0.75" footer="0.0" header="0.0" left="0.7" right="0.7" top="0.75"/>
  <pageSetup fitToHeight="0" cellComments="atEnd" orientation="landscape" pageOrder="overThenDown"/>
  <drawing r:id="rId2"/>
  <legacyDrawing r:id="rId3"/>
</worksheet>
</file>