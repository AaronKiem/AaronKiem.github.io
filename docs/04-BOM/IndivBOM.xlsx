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<sst xmlns="http://schemas.openxmlformats.org/spreadsheetml/2006/main" count="143" uniqueCount="134">
  <si>
    <t>Part Name</t>
  </si>
  <si>
    <t>Qty</t>
  </si>
  <si>
    <t>Unit Cost</t>
  </si>
  <si>
    <t>Total</t>
  </si>
  <si>
    <t>Safe Buy Quantity</t>
  </si>
  <si>
    <t>Total Cost</t>
  </si>
  <si>
    <t>Manufacture</t>
  </si>
  <si>
    <t>Part #:</t>
  </si>
  <si>
    <t>Link:</t>
  </si>
  <si>
    <t>Datasheet:</t>
  </si>
  <si>
    <t>Unit:</t>
  </si>
  <si>
    <t>Barrel Jack</t>
  </si>
  <si>
    <t>PJ-102AH</t>
  </si>
  <si>
    <t>https://www.digikey.com/en/products/detail/same-sky-formerly-cui-devices/PJ-102AH/408448?s=N4IgTCBcDaIAoCkC0BGADGAggCRAXQF8g</t>
  </si>
  <si>
    <t>https://www.sameskydevices.com/product/resource/pj-102ah.pdf</t>
  </si>
  <si>
    <t>J1</t>
  </si>
  <si>
    <t>Conn_02x04</t>
  </si>
  <si>
    <t>Connectors Pro</t>
  </si>
  <si>
    <t>FFSD-04-D-04.00-01</t>
  </si>
  <si>
    <t>https://www.digikey.com/en/products/detail/samtec-inc/FFSD-04-D-04-00-01/6695041</t>
  </si>
  <si>
    <t>https://suddendocs.samtec.com/catalog_english/ffsd.pdf</t>
  </si>
  <si>
    <t>J2, J3</t>
  </si>
  <si>
    <t>Conn_02x03</t>
  </si>
  <si>
    <t>Sullins Connector Solutions</t>
  </si>
  <si>
    <t>PPPC032LFBN-RC</t>
  </si>
  <si>
    <t>https://www.digikey.com/en/products/detail/sullins-connector-solutions/PPPC032LFBN-RC/810243</t>
  </si>
  <si>
    <t>https://mm.digikey.com/Volume0/opasdata/d220001/medias/docus/937/Female_Headers.100_DS.pdf</t>
  </si>
  <si>
    <t>J4</t>
  </si>
  <si>
    <t>Conn_1x2_pin</t>
  </si>
  <si>
    <t>PREC040SABN-RC</t>
  </si>
  <si>
    <t>https://www.digikey.com/en/products/detail/sullins-connector-solutions/PREC040SABN-RC/2775014</t>
  </si>
  <si>
    <t>https://mm.digikey.com/Volume0/opasdata/d220001/medias/docus/386/xRxCzzzSxxN-RC_ST_11635-B.pdf</t>
  </si>
  <si>
    <t>J5,J6,J7,J8</t>
  </si>
  <si>
    <t>2A Fuse</t>
  </si>
  <si>
    <t>Littelfuse Inc.</t>
  </si>
  <si>
    <t>0468002.NR</t>
  </si>
  <si>
    <t>https://www.digikey.com/en/products/detail/littelfuse-inc/0468002-NR/700869</t>
  </si>
  <si>
    <t>littelfuse.com/assetdocs/fuse-468-datasheet?assetguid=6b7857dc-f79c-4aae-8bcc-a9ef11ddef09</t>
  </si>
  <si>
    <t>F1</t>
  </si>
  <si>
    <t>PIC Microcontroller</t>
  </si>
  <si>
    <t>Microchip Technology</t>
  </si>
  <si>
    <t>PIC18F47Q10-I/PT</t>
  </si>
  <si>
    <t>https://www.digikey.com/en/products/detail/microchip-technology/pic18f47q10-i-pt/10187786</t>
  </si>
  <si>
    <t>https://ww1.microchip.com/downloads/en/DeviceDoc/PIC18F27-47Q10-Data-Sheet-40002043E.pdf</t>
  </si>
  <si>
    <t>U1</t>
  </si>
  <si>
    <t>ID converter</t>
  </si>
  <si>
    <t>Texas Instruments</t>
  </si>
  <si>
    <t>LDC1101DRCR</t>
  </si>
  <si>
    <t>https://www.digikey.com/en/products/detail/texas-instruments/ldc1101drcr/5320160</t>
  </si>
  <si>
    <t>https://www.ti.com/general/docs/suppproductinfo.tsp?distId=10&amp;gotoUrl=https%3A%2F%2Fwww.ti.com%2Flit%2Fgpn%2Fldc1101</t>
  </si>
  <si>
    <t>U2</t>
  </si>
  <si>
    <t>Buck Switch Regulator</t>
  </si>
  <si>
    <t>Diodes Incorporated</t>
  </si>
  <si>
    <t>AP63203WU-7</t>
  </si>
  <si>
    <t>https://www.digikey.com/en/products/detail/diodes-incorporated/AP63203WU-7/9858426?s=N4IgTCBcDaIIIAUBsBmMAGFB1AqgWgHYQBdAXyA</t>
  </si>
  <si>
    <t>https://www.diodes.com/assets/Datasheets/AP63200-AP63201-AP63203-AP63205.pdf</t>
  </si>
  <si>
    <t>U3</t>
  </si>
  <si>
    <t>MPLAB Snap</t>
  </si>
  <si>
    <t>PG164100</t>
  </si>
  <si>
    <t>https://www.digikey.com/en/products/detail/microchip-technology/PG164100/9562532?s=N4IgTCBcDaILYAcA2BDARgAgM4DsUJAF0BfIA</t>
  </si>
  <si>
    <t>http://ww1.microchip.com/downloads/en/DeviceDoc/MPLAB%20Snap%20In-Circuit%20Debugger%20IS%20DS50002787A.pdf</t>
  </si>
  <si>
    <t>U4</t>
  </si>
  <si>
    <t>RED Led</t>
  </si>
  <si>
    <t>Visual Communications Company - VCC</t>
  </si>
  <si>
    <t>CMD17-21VRD/TR8</t>
  </si>
  <si>
    <t>https://www.digikey.com/en/products/detail/visual-communications-company-vcc/CMD17-21VRD-TR8/254853</t>
  </si>
  <si>
    <t>https://mm.digikey.com/Volume0/opasdata/d220001/medias/docus/4320/CMD17-21_Rev10.pdf</t>
  </si>
  <si>
    <t>D1</t>
  </si>
  <si>
    <t>Led Button</t>
  </si>
  <si>
    <t>Omron Electronics Inc-EMC Div</t>
  </si>
  <si>
    <t>B3U-1000P</t>
  </si>
  <si>
    <t>https://www.digikey.com/en/products/detail/omron-electronics-inc-emc-div/B3U-1000P/1534338</t>
  </si>
  <si>
    <t>https://omronfs.omron.com/en_US/ecb/products/pdf/en-b3u.pdf</t>
  </si>
  <si>
    <t>SW1</t>
  </si>
  <si>
    <t>0.01uF Capacitor</t>
  </si>
  <si>
    <t>KEMET</t>
  </si>
  <si>
    <t>C0603C103J5REC7411</t>
  </si>
  <si>
    <t>https://www.digikey.com/en/products/detail/kemet/C0603C103J5REC7411/8572403</t>
  </si>
  <si>
    <t>https://yageogroup.com/content/datasheet/asset/file/KEM_C1090_X7R_ESD</t>
  </si>
  <si>
    <t>C1</t>
  </si>
  <si>
    <t>10uF Capacitor</t>
  </si>
  <si>
    <t>Murata Electronics</t>
  </si>
  <si>
    <t>GRM21BC71E106ME01L</t>
  </si>
  <si>
    <t>https://www.digikey.com/en/products/detail/murata-electronics/GRM21BC71E106ME01L/16821509?gclsrc=aw.ds&amp;gad_source=4&amp;gad_campaignid=17336967819&amp;gbraid=0AAAAADrbLlhQp0cD5WgRdwc55Lcc5_xx6&amp;gclid=Cj0KCQiAwYrNBhDcARIsAGo3u33BQ8lJqdAipfsLqtjDeWm_dcCDeUkxCu0eLQE9FIkfLtCYOBBm1ZYaAmIyEALw_wcB</t>
  </si>
  <si>
    <t>https://search.murata.co.jp/Ceramy/image/img/A01X/G101/ENG/GRM21BC71E106ME01-01A.pdf</t>
  </si>
  <si>
    <t>C2</t>
  </si>
  <si>
    <t>0.1uF Capacitor</t>
  </si>
  <si>
    <t>GCM21BR71E104KA37L</t>
  </si>
  <si>
    <t>https://www.digikey.com/en/products/detail/murata-electronics/GCM21BR71E104KA37L/6606385?gclsrc=aw.ds&amp;gad_source=4&amp;gad_campaignid=20509818233&amp;gbraid=0AAAAADrbLljeHSOmeV-nS_pmz3eL43j1F&amp;gclid=Cj0KCQiAwYrNBhDcARIsAGo3u33nvnG3ocQd5ReCgv3BYE8YxG2HiPrEdOO-NTUYSbP0tR9GBEa5S90aAnABEALw_wcB</t>
  </si>
  <si>
    <t>https://search.murata.co.jp/Ceramy/image/img/A01X/G101/ENG/GCM21BR71E104KA37-01.pdf</t>
  </si>
  <si>
    <t>C3,C6,C7,C8,C9,C10,C11,C12,C13,C14</t>
  </si>
  <si>
    <t>22uF Capacitor</t>
  </si>
  <si>
    <t>GRM21BR61E226ME44K</t>
  </si>
  <si>
    <t>https://www.digikey.com/en/products/detail/murata-electronics/GRM21BR61E226ME44K/6606267?gclsrc=aw.ds&amp;gad_source=4&amp;gad_campaignid=20509818233&amp;gbraid=0AAAAADrbLljeHSOmeV-nS_pmz3eL43j1F&amp;gclid=Cj0KCQiAwYrNBhDcARIsAGo3u30jFrTmWrCAhNfZ-wL9_m5KCfRJ9ulFt3jUPZ5yVznDn5pkCY4xFnAaAtQaEALw_wcB</t>
  </si>
  <si>
    <t>https://search.murata.co.jp/Ceramy/image/img/A01X/G101/ENG/GRM21BR61E226ME44-01.pdf</t>
  </si>
  <si>
    <t>C4</t>
  </si>
  <si>
    <t>470pF Capacitor</t>
  </si>
  <si>
    <t>GRM1555C1H471JA01D</t>
  </si>
  <si>
    <t>https://www.digikey.com/en/products/detail/murata-electronics/GRM1555C1H471JA01D/587210</t>
  </si>
  <si>
    <t>https://search.murata.co.jp/Ceramy/image/img/A01X/G101/ENG/GRM1555C1H471JA01-01.pdf</t>
  </si>
  <si>
    <t>C5</t>
  </si>
  <si>
    <t>100K Resistor</t>
  </si>
  <si>
    <t>YAGEO</t>
  </si>
  <si>
    <t>RC1206FR-13100KL</t>
  </si>
  <si>
    <t>https://www.digikey.com/en/products/detail/yageo/RC1206FR-13100KL/14287662?gclsrc=aw.ds&amp;gad_source=1&amp;gad_campaignid=17336967819&amp;gbraid=0AAAAADrbLliyDHH7N0PnyjieOx5_Lka1j&amp;gclid=Cj0KCQiAwYrNBhDcARIsAGo3u30NH1Fbm38Hi-Rqsykhc1yKFlQu-N-YBlvw9ApfgpZtCmZKdQ0uvMcaAjsrEALw_wcB</t>
  </si>
  <si>
    <t>https://yageogroup.com/content/datasheet/asset/file/PYU-RC_GROUP_51_ROHS_L</t>
  </si>
  <si>
    <t>R1</t>
  </si>
  <si>
    <t>10K Resistor</t>
  </si>
  <si>
    <t>Stackpole Electronics Inc</t>
  </si>
  <si>
    <t>RMCF1206JG10K0</t>
  </si>
  <si>
    <t>https://www.digikey.com/en/products/detail/stackpole-electronics-inc/RMCF1206JG10K0/21720266?gclsrc=aw.ds&amp;gad_source=1&amp;gad_campaignid=17336967819&amp;gbraid=0AAAAADrbLliyDHH7N0PnyjieOx5_Lka1j&amp;gclid=Cj0KCQiAwYrNBhDcARIsAGo3u31Gtr-KUO74CLRxO362obuDD0jvcl8YxMadIyCSBp_fdlXxTsJJiOAaAnP2EALw_wcB</t>
  </si>
  <si>
    <t>https://www.seielect.com/catalog/SEI-RMCF_RMCP.pdf</t>
  </si>
  <si>
    <t>R2</t>
  </si>
  <si>
    <t>100 Resistor</t>
  </si>
  <si>
    <t>RC1206JR-10100RL</t>
  </si>
  <si>
    <t>https://www.digikey.com/en/products/detail/yageo/RC1206JR-10100RL/13694487?gclsrc=aw.ds&amp;gad_source=1&amp;gad_campaignid=17336967819&amp;gbraid=0AAAAADrbLliyDHH7N0PnyjieOx5_Lka1j&amp;gclid=Cj0KCQiAwYrNBhDcARIsAGo3u302nyydr8bSey5k7tBCD9IMKMdbz3fGN0ODvd2-8LQdCaRoFhpi05UaAlLFEALw_wcB</t>
  </si>
  <si>
    <t>R3</t>
  </si>
  <si>
    <t>470 Resistor</t>
  </si>
  <si>
    <t>Vishay Dale</t>
  </si>
  <si>
    <t>CRCW1206470RJNEAIF</t>
  </si>
  <si>
    <t>https://www.digikey.com/en/products/detail/vishay-dale/CRCW1206470RJNEAIF/11500710?gclsrc=aw.ds&amp;gad_source=1&amp;gad_campaignid=23434098130&amp;gbraid=0AAAAADrbLli4g5iIymhrQD1Qooo3tnrpj&amp;gclid=Cj0KCQiAwYrNBhDcARIsAGo3u33eJX_PRD4x3JCYKGThm9pXu8KfR8HM2WbzEAbeTiBTugEb78N918caAs4XEALw_wcB</t>
  </si>
  <si>
    <t>https://www.vishay.com/docs/20024/dcrcwife3.pdf</t>
  </si>
  <si>
    <t>R4</t>
  </si>
  <si>
    <t>4.7uH Inductor</t>
  </si>
  <si>
    <t>LQM2HPN4R7MG0L</t>
  </si>
  <si>
    <t>https://www.digikey.com/en/products/detail/murata-electronics/LQM2HPN4R7MG0L/1893673</t>
  </si>
  <si>
    <t>https://search.murata.co.jp/Ceramy/image/img/P02/JELF243B-0019.pdf</t>
  </si>
  <si>
    <t>L1</t>
  </si>
  <si>
    <t>Copper Coil (100uH Inductor)</t>
  </si>
  <si>
    <t>Remington Industries</t>
  </si>
  <si>
    <t>24SNSP.125</t>
  </si>
  <si>
    <t>https://www.digikey.com/en/products/detail/remington-industries/24SNSP-125/11613800</t>
  </si>
  <si>
    <t>https://mm.digikey.com/Volume0/opasdata/d220001/medias/docus/56/PolyurethaneMagnetWireDataSheet.pdf</t>
  </si>
  <si>
    <t>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</si>
</sst>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ishay.com/docs/20024/dcrcwife3.pdf" TargetMode="External"/><Relationship Id="rId20" Type="http://schemas.openxmlformats.org/officeDocument/2006/relationships/hyperlink" Target="https://mm.digikey.com/Volume0/opasdata/d220001/medias/docus/4320/CMD17-21_Rev10.pdf" TargetMode="External"/><Relationship Id="rId42" Type="http://schemas.openxmlformats.org/officeDocument/2006/relationships/hyperlink" Target="https://search.murata.co.jp/Ceramy/image/img/P02/JELF243B-0019.pdf" TargetMode="External"/><Relationship Id="rId41" Type="http://schemas.openxmlformats.org/officeDocument/2006/relationships/hyperlink" Target="https://www.digikey.com/en/products/detail/murata-electronics/LQM2HPN4R7MG0L/1893673" TargetMode="External"/><Relationship Id="rId22" Type="http://schemas.openxmlformats.org/officeDocument/2006/relationships/hyperlink" Target="https://omronfs.omron.com/en_US/ecb/products/pdf/en-b3u.pdf" TargetMode="External"/><Relationship Id="rId44" Type="http://schemas.openxmlformats.org/officeDocument/2006/relationships/hyperlink" Target="https://mm.digikey.com/Volume0/opasdata/d220001/medias/docus/56/PolyurethaneMagnetWireDataSheet.pdf" TargetMode="External"/><Relationship Id="rId21" Type="http://schemas.openxmlformats.org/officeDocument/2006/relationships/hyperlink" Target="https://www.digikey.com/en/products/detail/omron-electronics-inc-emc-div/B3U-1000P/1534338" TargetMode="External"/><Relationship Id="rId43" Type="http://schemas.openxmlformats.org/officeDocument/2006/relationships/hyperlink" Target="https://www.digikey.com/en/products/detail/remington-industries/24SNSP-125/11613800" TargetMode="External"/><Relationship Id="rId24" Type="http://schemas.openxmlformats.org/officeDocument/2006/relationships/hyperlink" Target="https://yageogroup.com/content/datasheet/asset/file/KEM_C1090_X7R_ESD" TargetMode="External"/><Relationship Id="rId23" Type="http://schemas.openxmlformats.org/officeDocument/2006/relationships/hyperlink" Target="https://www.digikey.com/en/products/detail/kemet/C0603C103J5REC7411/8572403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www.digikey.com/en/products/detail/same-sky-formerly-cui-devices/PJ-102AH/408448?s=N4IgTCBcDaIAoCkC0BGADGAggCRAXQF8g" TargetMode="External"/><Relationship Id="rId2" Type="http://schemas.openxmlformats.org/officeDocument/2006/relationships/hyperlink" Target="https://www.sameskydevices.com/product/resource/pj-102ah.pdf" TargetMode="External"/><Relationship Id="rId3" Type="http://schemas.openxmlformats.org/officeDocument/2006/relationships/hyperlink" Target="https://www.digikey.com/en/products/detail/samtec-inc/FFSD-04-D-04-00-01/6695041" TargetMode="External"/><Relationship Id="rId4" Type="http://schemas.openxmlformats.org/officeDocument/2006/relationships/hyperlink" Target="https://suddendocs.samtec.com/catalog_english/ffsd.pdf" TargetMode="External"/><Relationship Id="rId9" Type="http://schemas.openxmlformats.org/officeDocument/2006/relationships/hyperlink" Target="https://www.digikey.com/en/products/detail/littelfuse-inc/64900001039/245470?s=N4IgTCBcDaIGwBYCcAGNKCMKDMSQF0BfIA" TargetMode="External"/><Relationship Id="rId26" Type="http://schemas.openxmlformats.org/officeDocument/2006/relationships/hyperlink" Target="https://search.murata.co.jp/Ceramy/image/img/A01X/G101/ENG/GRM21BC71E106ME01-01A.pdf" TargetMode="External"/><Relationship Id="rId25" Type="http://schemas.openxmlformats.org/officeDocument/2006/relationships/hyperlink" Target="https://www.digikey.com/en/products/detail/murata-electronics/GRM21BC71E106ME01L/16821509?gclsrc=aw.ds&amp;gad_source=4&amp;gad_campaignid=17336967819&amp;gbraid=0AAAAADrbLlhQp0cD5WgRdwc55Lcc5_xx6&amp;gclid=Cj0KCQiAwYrNBhDcARIsAGo3u33BQ8lJqdAipfsLqtjDeWm_dcCDeUkxCu0eLQE9FIkfLtCYOBBm1ZYaAmIyEALw_wcB" TargetMode="External"/><Relationship Id="rId28" Type="http://schemas.openxmlformats.org/officeDocument/2006/relationships/hyperlink" Target="https://search.murata.co.jp/Ceramy/image/img/A01X/G101/ENG/GCM21BR71E104KA37-01.pdf" TargetMode="External"/><Relationship Id="rId27" Type="http://schemas.openxmlformats.org/officeDocument/2006/relationships/hyperlink" Target="https://www.digikey.com/en/products/detail/murata-electronics/GCM21BR71E104KA37L/6606385?gclsrc=aw.ds&amp;gad_source=4&amp;gad_campaignid=20509818233&amp;gbraid=0AAAAADrbLljeHSOmeV-nS_pmz3eL43j1F&amp;gclid=Cj0KCQiAwYrNBhDcARIsAGo3u33nvnG3ocQd5ReCgv3BYE8YxG2HiPrEdOO-NTUYSbP0tR9GBEa5S90aAnABEALw_wcB" TargetMode="External"/><Relationship Id="rId5" Type="http://schemas.openxmlformats.org/officeDocument/2006/relationships/hyperlink" Target="https://www.digikey.com/en/products/detail/sullins-connector-solutions/PPPC032LFBN-RC/810243" TargetMode="External"/><Relationship Id="rId6" Type="http://schemas.openxmlformats.org/officeDocument/2006/relationships/hyperlink" Target="https://mm.digikey.com/Volume0/opasdata/d220001/medias/docus/937/Female_Headers.100_DS.pdf" TargetMode="External"/><Relationship Id="rId29" Type="http://schemas.openxmlformats.org/officeDocument/2006/relationships/hyperlink" Target="https://www.digikey.com/en/products/detail/murata-electronics/GRM21BR61E226ME44K/6606267?gclsrc=aw.ds&amp;gad_source=4&amp;gad_campaignid=20509818233&amp;gbraid=0AAAAADrbLljeHSOmeV-nS_pmz3eL43j1F&amp;gclid=Cj0KCQiAwYrNBhDcARIsAGo3u30jFrTmWrCAhNfZ-wL9_m5KCfRJ9ulFt3jUPZ5yVznDn5pkCY4xFnAaAtQaEALw_wcB" TargetMode="External"/><Relationship Id="rId7" Type="http://schemas.openxmlformats.org/officeDocument/2006/relationships/hyperlink" Target="https://www.digikey.com/en/products/detail/sullins-connector-solutions/PREC040SABN-RC/2775014" TargetMode="External"/><Relationship Id="rId8" Type="http://schemas.openxmlformats.org/officeDocument/2006/relationships/hyperlink" Target="https://mm.digikey.com/Volume0/opasdata/d220001/medias/docus/386/xRxCzzzSxxN-RC_ST_11635-B.pdf" TargetMode="External"/><Relationship Id="rId31" Type="http://schemas.openxmlformats.org/officeDocument/2006/relationships/hyperlink" Target="https://www.digikey.com/en/products/detail/murata-electronics/GRM1555C1H471JA01D/587210" TargetMode="External"/><Relationship Id="rId30" Type="http://schemas.openxmlformats.org/officeDocument/2006/relationships/hyperlink" Target="https://search.murata.co.jp/Ceramy/image/img/A01X/G101/ENG/GRM21BR61E226ME44-01.pdf" TargetMode="External"/><Relationship Id="rId11" Type="http://schemas.openxmlformats.org/officeDocument/2006/relationships/hyperlink" Target="https://www.digikey.com/en/products/detail/microchip-technology/pic18f47q10-i-pt/10187786" TargetMode="External"/><Relationship Id="rId33" Type="http://schemas.openxmlformats.org/officeDocument/2006/relationships/hyperlink" Target="https://www.digikey.com/en/products/detail/yageo/RC1206FR-13100KL/14287662?gclsrc=aw.ds&amp;gad_source=1&amp;gad_campaignid=17336967819&amp;gbraid=0AAAAADrbLliyDHH7N0PnyjieOx5_Lka1j&amp;gclid=Cj0KCQiAwYrNBhDcARIsAGo3u30NH1Fbm38Hi-Rqsykhc1yKFlQu-N-YBlvw9ApfgpZtCmZKdQ0uvMcaAjsrEALw_wcB" TargetMode="External"/><Relationship Id="rId10" Type="http://schemas.openxmlformats.org/officeDocument/2006/relationships/hyperlink" Target="http://littelfuse.com/assetdocs/fuse-468-datasheet?assetguid=6b7857dc-f79c-4aae-8bcc-a9ef11ddef09" TargetMode="External"/><Relationship Id="rId32" Type="http://schemas.openxmlformats.org/officeDocument/2006/relationships/hyperlink" Target="https://search.murata.co.jp/Ceramy/image/img/A01X/G101/ENG/GRM1555C1H471JA01-01.pdf" TargetMode="External"/><Relationship Id="rId13" Type="http://schemas.openxmlformats.org/officeDocument/2006/relationships/hyperlink" Target="https://www.digikey.com/en/products/detail/texas-instruments/ldc1101drcr/5320160" TargetMode="External"/><Relationship Id="rId35" Type="http://schemas.openxmlformats.org/officeDocument/2006/relationships/hyperlink" Target="https://www.digikey.com/en/products/detail/stackpole-electronics-inc/RMCF1206JG10K0/21720266?gclsrc=aw.ds&amp;gad_source=1&amp;gad_campaignid=17336967819&amp;gbraid=0AAAAADrbLliyDHH7N0PnyjieOx5_Lka1j&amp;gclid=Cj0KCQiAwYrNBhDcARIsAGo3u31Gtr-KUO74CLRxO362obuDD0jvcl8YxMadIyCSBp_fdlXxTsJJiOAaAnP2EALw_wcB" TargetMode="External"/><Relationship Id="rId12" Type="http://schemas.openxmlformats.org/officeDocument/2006/relationships/hyperlink" Target="https://ww1.microchip.com/downloads/en/DeviceDoc/PIC18F27-47Q10-Data-Sheet-40002043E.pdf" TargetMode="External"/><Relationship Id="rId34" Type="http://schemas.openxmlformats.org/officeDocument/2006/relationships/hyperlink" Target="https://yageogroup.com/content/datasheet/asset/file/PYU-RC_GROUP_51_ROHS_L" TargetMode="External"/><Relationship Id="rId15" Type="http://schemas.openxmlformats.org/officeDocument/2006/relationships/hyperlink" Target="https://www.digikey.com/en/products/detail/diodes-incorporated/AP63203WU-7/9858426?s=N4IgTCBcDaIIIAUBsBmMAGFB1AqgWgHYQBdAXyA" TargetMode="External"/><Relationship Id="rId37" Type="http://schemas.openxmlformats.org/officeDocument/2006/relationships/hyperlink" Target="https://www.digikey.com/en/products/detail/yageo/RC1206JR-10100RL/13694487?gclsrc=aw.ds&amp;gad_source=1&amp;gad_campaignid=17336967819&amp;gbraid=0AAAAADrbLliyDHH7N0PnyjieOx5_Lka1j&amp;gclid=Cj0KCQiAwYrNBhDcARIsAGo3u302nyydr8bSey5k7tBCD9IMKMdbz3fGN0ODvd2-8LQdCaRoFhpi05UaAlLFEALw_wcB" TargetMode="External"/><Relationship Id="rId14" Type="http://schemas.openxmlformats.org/officeDocument/2006/relationships/hyperlink" Target="https://www.ti.com/general/docs/suppproductinfo.tsp?distId=10&amp;gotoUrl=https%3A%2F%2Fwww.ti.com%2Flit%2Fgpn%2Fldc1101" TargetMode="External"/><Relationship Id="rId36" Type="http://schemas.openxmlformats.org/officeDocument/2006/relationships/hyperlink" Target="https://www.seielect.com/catalog/SEI-RMCF_RMCP.pdf" TargetMode="External"/><Relationship Id="rId17" Type="http://schemas.openxmlformats.org/officeDocument/2006/relationships/hyperlink" Target="https://www.digikey.com/en/products/detail/microchip-technology/PG164100/9562532?s=N4IgTCBcDaILYAcA2BDARgAgM4DsUJAF0BfIA" TargetMode="External"/><Relationship Id="rId39" Type="http://schemas.openxmlformats.org/officeDocument/2006/relationships/hyperlink" Target="https://www.digikey.com/en/products/detail/vishay-dale/CRCW1206470RJNEAIF/11500710?gclsrc=aw.ds&amp;gad_source=1&amp;gad_campaignid=23434098130&amp;gbraid=0AAAAADrbLli4g5iIymhrQD1Qooo3tnrpj&amp;gclid=Cj0KCQiAwYrNBhDcARIsAGo3u33eJX_PRD4x3JCYKGThm9pXu8KfR8HM2WbzEAbeTiBTugEb78N918caAs4XEALw_wcB" TargetMode="External"/><Relationship Id="rId16" Type="http://schemas.openxmlformats.org/officeDocument/2006/relationships/hyperlink" Target="https://www.diodes.com/assets/Datasheets/AP63200-AP63201-AP63203-AP63205.pdf" TargetMode="External"/><Relationship Id="rId38" Type="http://schemas.openxmlformats.org/officeDocument/2006/relationships/hyperlink" Target="https://yageogroup.com/content/datasheet/asset/file/PYU-RC_GROUP_51_ROHS_L" TargetMode="External"/><Relationship Id="rId19" Type="http://schemas.openxmlformats.org/officeDocument/2006/relationships/hyperlink" Target="https://www.digikey.com/en/products/detail/visual-communications-company-vcc/CMD17-21VRD-TR8/254853" TargetMode="External"/><Relationship Id="rId18" Type="http://schemas.openxmlformats.org/officeDocument/2006/relationships/hyperlink" Target="http://ww1.microchip.com/downloads/en/DeviceDoc/MPLAB%20Snap%20In-Circuit%20Debugger%20IS%20DS50002787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5" max="5" width="24.63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1.0</v>
      </c>
      <c r="C2" s="3">
        <v>0.76</v>
      </c>
      <c r="D2" s="4">
        <f t="shared" ref="D2:D23" si="1">B2*C2</f>
        <v>0.76</v>
      </c>
      <c r="E2" s="2">
        <v>3.0</v>
      </c>
      <c r="F2" s="3">
        <f>B2*C2</f>
        <v>0.76</v>
      </c>
      <c r="G2" s="2" t="s">
        <v>12</v>
      </c>
      <c r="H2" s="2" t="s">
        <v>12</v>
      </c>
      <c r="I2" s="5" t="s">
        <v>13</v>
      </c>
      <c r="J2" s="6" t="s">
        <v>14</v>
      </c>
      <c r="K2" s="7" t="s">
        <v>15</v>
      </c>
    </row>
    <row r="3">
      <c r="A3" s="2" t="s">
        <v>16</v>
      </c>
      <c r="B3" s="2">
        <v>2.0</v>
      </c>
      <c r="C3" s="3">
        <v>3.85</v>
      </c>
      <c r="D3" s="4">
        <f t="shared" si="1"/>
        <v>7.7</v>
      </c>
      <c r="E3" s="2">
        <v>4.0</v>
      </c>
      <c r="F3" s="3">
        <f t="shared" ref="F3:F23" si="2">E3*C3</f>
        <v>15.4</v>
      </c>
      <c r="G3" s="2" t="s">
        <v>17</v>
      </c>
      <c r="H3" s="2" t="s">
        <v>18</v>
      </c>
      <c r="I3" s="5" t="s">
        <v>19</v>
      </c>
      <c r="J3" s="8" t="s">
        <v>20</v>
      </c>
      <c r="K3" s="7" t="s">
        <v>21</v>
      </c>
    </row>
    <row r="4">
      <c r="A4" s="2" t="s">
        <v>22</v>
      </c>
      <c r="B4" s="2">
        <v>1.0</v>
      </c>
      <c r="C4" s="3">
        <v>0.49</v>
      </c>
      <c r="D4" s="4">
        <f t="shared" si="1"/>
        <v>0.49</v>
      </c>
      <c r="E4" s="2">
        <v>3.0</v>
      </c>
      <c r="F4" s="3">
        <f t="shared" si="2"/>
        <v>1.47</v>
      </c>
      <c r="G4" s="2" t="s">
        <v>23</v>
      </c>
      <c r="H4" s="2" t="s">
        <v>24</v>
      </c>
      <c r="I4" s="9" t="s">
        <v>25</v>
      </c>
      <c r="J4" s="8" t="s">
        <v>26</v>
      </c>
      <c r="K4" s="7" t="s">
        <v>27</v>
      </c>
    </row>
    <row r="5">
      <c r="A5" s="2" t="s">
        <v>28</v>
      </c>
      <c r="B5" s="2">
        <v>1.0</v>
      </c>
      <c r="C5" s="3">
        <v>0.56</v>
      </c>
      <c r="D5" s="4">
        <f t="shared" si="1"/>
        <v>0.56</v>
      </c>
      <c r="E5" s="2">
        <v>1.0</v>
      </c>
      <c r="F5" s="4">
        <f t="shared" si="2"/>
        <v>0.56</v>
      </c>
      <c r="G5" s="7" t="s">
        <v>23</v>
      </c>
      <c r="H5" s="7" t="s">
        <v>29</v>
      </c>
      <c r="I5" s="5" t="s">
        <v>30</v>
      </c>
      <c r="J5" s="9" t="s">
        <v>31</v>
      </c>
      <c r="K5" s="7" t="s">
        <v>32</v>
      </c>
    </row>
    <row r="6">
      <c r="A6" s="2" t="s">
        <v>33</v>
      </c>
      <c r="B6" s="2">
        <v>1.0</v>
      </c>
      <c r="C6" s="3">
        <v>1.58</v>
      </c>
      <c r="D6" s="4">
        <f t="shared" si="1"/>
        <v>1.58</v>
      </c>
      <c r="E6" s="2">
        <v>3.0</v>
      </c>
      <c r="F6" s="3">
        <f t="shared" si="2"/>
        <v>4.74</v>
      </c>
      <c r="G6" s="2" t="s">
        <v>34</v>
      </c>
      <c r="H6" s="10" t="s">
        <v>35</v>
      </c>
      <c r="I6" s="5" t="s">
        <v>36</v>
      </c>
      <c r="J6" s="6" t="s">
        <v>37</v>
      </c>
      <c r="K6" s="7" t="s">
        <v>38</v>
      </c>
    </row>
    <row r="7">
      <c r="A7" s="2" t="s">
        <v>39</v>
      </c>
      <c r="B7" s="2">
        <v>1.0</v>
      </c>
      <c r="C7" s="3">
        <v>1.49</v>
      </c>
      <c r="D7" s="4">
        <f t="shared" si="1"/>
        <v>1.49</v>
      </c>
      <c r="E7" s="2">
        <v>3.0</v>
      </c>
      <c r="F7" s="3">
        <f t="shared" si="2"/>
        <v>4.47</v>
      </c>
      <c r="G7" s="2" t="s">
        <v>40</v>
      </c>
      <c r="H7" s="2" t="s">
        <v>41</v>
      </c>
      <c r="I7" s="9" t="s">
        <v>42</v>
      </c>
      <c r="J7" s="6" t="s">
        <v>43</v>
      </c>
      <c r="K7" s="7" t="s">
        <v>44</v>
      </c>
    </row>
    <row r="8">
      <c r="A8" s="2" t="s">
        <v>45</v>
      </c>
      <c r="B8" s="2">
        <v>1.0</v>
      </c>
      <c r="C8" s="3">
        <v>4.85</v>
      </c>
      <c r="D8" s="4">
        <f t="shared" si="1"/>
        <v>4.85</v>
      </c>
      <c r="E8" s="2">
        <v>2.0</v>
      </c>
      <c r="F8" s="3">
        <f t="shared" si="2"/>
        <v>9.7</v>
      </c>
      <c r="G8" s="2" t="s">
        <v>46</v>
      </c>
      <c r="H8" s="2" t="s">
        <v>47</v>
      </c>
      <c r="I8" s="5" t="s">
        <v>48</v>
      </c>
      <c r="J8" s="8" t="s">
        <v>49</v>
      </c>
      <c r="K8" s="7" t="s">
        <v>50</v>
      </c>
    </row>
    <row r="9">
      <c r="A9" s="2" t="s">
        <v>51</v>
      </c>
      <c r="B9" s="2">
        <v>1.0</v>
      </c>
      <c r="C9" s="3">
        <v>0.71</v>
      </c>
      <c r="D9" s="4">
        <f t="shared" si="1"/>
        <v>0.71</v>
      </c>
      <c r="E9" s="2">
        <v>2.0</v>
      </c>
      <c r="F9" s="3">
        <f t="shared" si="2"/>
        <v>1.42</v>
      </c>
      <c r="G9" s="2" t="s">
        <v>52</v>
      </c>
      <c r="H9" s="2" t="s">
        <v>53</v>
      </c>
      <c r="I9" s="6" t="s">
        <v>54</v>
      </c>
      <c r="J9" s="5" t="s">
        <v>55</v>
      </c>
      <c r="K9" s="7" t="s">
        <v>56</v>
      </c>
    </row>
    <row r="10">
      <c r="A10" s="2" t="s">
        <v>57</v>
      </c>
      <c r="B10" s="2">
        <v>1.0</v>
      </c>
      <c r="C10" s="3">
        <v>13.54</v>
      </c>
      <c r="D10" s="4">
        <f t="shared" si="1"/>
        <v>13.54</v>
      </c>
      <c r="E10" s="2">
        <v>2.0</v>
      </c>
      <c r="F10" s="3">
        <f t="shared" si="2"/>
        <v>27.08</v>
      </c>
      <c r="G10" s="2" t="s">
        <v>40</v>
      </c>
      <c r="H10" s="2" t="s">
        <v>58</v>
      </c>
      <c r="I10" s="9" t="s">
        <v>59</v>
      </c>
      <c r="J10" s="8" t="s">
        <v>60</v>
      </c>
      <c r="K10" s="7" t="s">
        <v>61</v>
      </c>
    </row>
    <row r="11">
      <c r="A11" s="2" t="s">
        <v>62</v>
      </c>
      <c r="B11" s="2">
        <v>1.0</v>
      </c>
      <c r="C11" s="3">
        <v>0.71</v>
      </c>
      <c r="D11" s="4">
        <f t="shared" si="1"/>
        <v>0.71</v>
      </c>
      <c r="E11" s="2">
        <v>3.0</v>
      </c>
      <c r="F11" s="3">
        <f t="shared" si="2"/>
        <v>2.13</v>
      </c>
      <c r="G11" s="2" t="s">
        <v>63</v>
      </c>
      <c r="H11" s="2" t="s">
        <v>64</v>
      </c>
      <c r="I11" s="5" t="s">
        <v>65</v>
      </c>
      <c r="J11" s="11" t="s">
        <v>66</v>
      </c>
      <c r="K11" s="7" t="s">
        <v>67</v>
      </c>
    </row>
    <row r="12">
      <c r="A12" s="2" t="s">
        <v>68</v>
      </c>
      <c r="B12" s="2">
        <v>1.0</v>
      </c>
      <c r="C12" s="3">
        <v>0.9</v>
      </c>
      <c r="D12" s="4">
        <f t="shared" si="1"/>
        <v>0.9</v>
      </c>
      <c r="E12" s="2">
        <v>3.0</v>
      </c>
      <c r="F12" s="3">
        <f t="shared" si="2"/>
        <v>2.7</v>
      </c>
      <c r="G12" s="2" t="s">
        <v>69</v>
      </c>
      <c r="H12" s="2" t="s">
        <v>70</v>
      </c>
      <c r="I12" s="5" t="s">
        <v>71</v>
      </c>
      <c r="J12" s="8" t="s">
        <v>72</v>
      </c>
      <c r="K12" s="7" t="s">
        <v>73</v>
      </c>
    </row>
    <row r="13">
      <c r="A13" s="2" t="s">
        <v>74</v>
      </c>
      <c r="B13" s="2">
        <v>1.0</v>
      </c>
      <c r="C13" s="3">
        <v>0.18</v>
      </c>
      <c r="D13" s="4">
        <f t="shared" si="1"/>
        <v>0.18</v>
      </c>
      <c r="E13" s="2">
        <v>4.0</v>
      </c>
      <c r="F13" s="3">
        <f t="shared" si="2"/>
        <v>0.72</v>
      </c>
      <c r="G13" s="2" t="s">
        <v>75</v>
      </c>
      <c r="H13" s="2" t="s">
        <v>76</v>
      </c>
      <c r="I13" s="5" t="s">
        <v>77</v>
      </c>
      <c r="J13" s="8" t="s">
        <v>78</v>
      </c>
      <c r="K13" s="7" t="s">
        <v>79</v>
      </c>
    </row>
    <row r="14">
      <c r="A14" s="2" t="s">
        <v>80</v>
      </c>
      <c r="B14" s="2">
        <v>1.0</v>
      </c>
      <c r="C14" s="3">
        <v>0.31</v>
      </c>
      <c r="D14" s="4">
        <f t="shared" si="1"/>
        <v>0.31</v>
      </c>
      <c r="E14" s="2">
        <v>4.0</v>
      </c>
      <c r="F14" s="3">
        <f t="shared" si="2"/>
        <v>1.24</v>
      </c>
      <c r="G14" s="2" t="s">
        <v>81</v>
      </c>
      <c r="H14" s="2" t="s">
        <v>82</v>
      </c>
      <c r="I14" s="9" t="s">
        <v>83</v>
      </c>
      <c r="J14" s="8" t="s">
        <v>84</v>
      </c>
      <c r="K14" s="7" t="s">
        <v>85</v>
      </c>
    </row>
    <row r="15">
      <c r="A15" s="2" t="s">
        <v>86</v>
      </c>
      <c r="B15" s="2">
        <v>10.0</v>
      </c>
      <c r="C15" s="3">
        <v>0.35</v>
      </c>
      <c r="D15" s="4">
        <f t="shared" si="1"/>
        <v>3.5</v>
      </c>
      <c r="E15" s="2">
        <v>15.0</v>
      </c>
      <c r="F15" s="3">
        <f t="shared" si="2"/>
        <v>5.25</v>
      </c>
      <c r="G15" s="2" t="s">
        <v>81</v>
      </c>
      <c r="H15" s="2" t="s">
        <v>87</v>
      </c>
      <c r="I15" s="5" t="s">
        <v>88</v>
      </c>
      <c r="J15" s="8" t="s">
        <v>89</v>
      </c>
      <c r="K15" s="7" t="s">
        <v>90</v>
      </c>
    </row>
    <row r="16">
      <c r="A16" s="2" t="s">
        <v>91</v>
      </c>
      <c r="B16" s="2">
        <v>1.0</v>
      </c>
      <c r="C16" s="3">
        <v>0.33</v>
      </c>
      <c r="D16" s="4">
        <f t="shared" si="1"/>
        <v>0.33</v>
      </c>
      <c r="E16" s="2">
        <v>4.0</v>
      </c>
      <c r="F16" s="3">
        <f t="shared" si="2"/>
        <v>1.32</v>
      </c>
      <c r="G16" s="2" t="s">
        <v>81</v>
      </c>
      <c r="H16" s="2" t="s">
        <v>92</v>
      </c>
      <c r="I16" s="5" t="s">
        <v>93</v>
      </c>
      <c r="J16" s="8" t="s">
        <v>94</v>
      </c>
      <c r="K16" s="7" t="s">
        <v>95</v>
      </c>
    </row>
    <row r="17">
      <c r="A17" s="2" t="s">
        <v>96</v>
      </c>
      <c r="B17" s="2">
        <v>1.0</v>
      </c>
      <c r="C17" s="3">
        <v>0.1</v>
      </c>
      <c r="D17" s="4">
        <f t="shared" si="1"/>
        <v>0.1</v>
      </c>
      <c r="E17" s="2">
        <v>4.0</v>
      </c>
      <c r="F17" s="3">
        <f t="shared" si="2"/>
        <v>0.4</v>
      </c>
      <c r="G17" s="2" t="s">
        <v>81</v>
      </c>
      <c r="H17" s="2" t="s">
        <v>97</v>
      </c>
      <c r="I17" s="5" t="s">
        <v>98</v>
      </c>
      <c r="J17" s="8" t="s">
        <v>99</v>
      </c>
      <c r="K17" s="7" t="s">
        <v>100</v>
      </c>
    </row>
    <row r="18">
      <c r="A18" s="2" t="s">
        <v>101</v>
      </c>
      <c r="B18" s="2">
        <v>1.0</v>
      </c>
      <c r="C18" s="3">
        <v>0.1</v>
      </c>
      <c r="D18" s="4">
        <f t="shared" si="1"/>
        <v>0.1</v>
      </c>
      <c r="E18" s="2">
        <v>4.0</v>
      </c>
      <c r="F18" s="3">
        <f t="shared" si="2"/>
        <v>0.4</v>
      </c>
      <c r="G18" s="2" t="s">
        <v>102</v>
      </c>
      <c r="H18" s="2" t="s">
        <v>103</v>
      </c>
      <c r="I18" s="9" t="s">
        <v>104</v>
      </c>
      <c r="J18" s="8" t="s">
        <v>105</v>
      </c>
      <c r="K18" s="7" t="s">
        <v>106</v>
      </c>
    </row>
    <row r="19">
      <c r="A19" s="2" t="s">
        <v>107</v>
      </c>
      <c r="B19" s="2">
        <v>1.0</v>
      </c>
      <c r="C19" s="3">
        <v>0.1</v>
      </c>
      <c r="D19" s="4">
        <f t="shared" si="1"/>
        <v>0.1</v>
      </c>
      <c r="E19" s="2">
        <v>4.0</v>
      </c>
      <c r="F19" s="3">
        <f t="shared" si="2"/>
        <v>0.4</v>
      </c>
      <c r="G19" s="2" t="s">
        <v>108</v>
      </c>
      <c r="H19" s="2" t="s">
        <v>109</v>
      </c>
      <c r="I19" s="9" t="s">
        <v>110</v>
      </c>
      <c r="J19" s="8" t="s">
        <v>111</v>
      </c>
      <c r="K19" s="7" t="s">
        <v>112</v>
      </c>
    </row>
    <row r="20">
      <c r="A20" s="2" t="s">
        <v>113</v>
      </c>
      <c r="B20" s="2">
        <v>1.0</v>
      </c>
      <c r="C20" s="3">
        <v>0.1</v>
      </c>
      <c r="D20" s="4">
        <f t="shared" si="1"/>
        <v>0.1</v>
      </c>
      <c r="E20" s="2">
        <v>4.0</v>
      </c>
      <c r="F20" s="3">
        <f t="shared" si="2"/>
        <v>0.4</v>
      </c>
      <c r="G20" s="2" t="s">
        <v>102</v>
      </c>
      <c r="H20" s="2" t="s">
        <v>114</v>
      </c>
      <c r="I20" s="9" t="s">
        <v>115</v>
      </c>
      <c r="J20" s="8" t="s">
        <v>105</v>
      </c>
      <c r="K20" s="7" t="s">
        <v>116</v>
      </c>
    </row>
    <row r="21">
      <c r="A21" s="2" t="s">
        <v>117</v>
      </c>
      <c r="B21" s="2">
        <v>1.0</v>
      </c>
      <c r="C21" s="3">
        <v>0.44</v>
      </c>
      <c r="D21" s="4">
        <f t="shared" si="1"/>
        <v>0.44</v>
      </c>
      <c r="E21" s="2">
        <v>4.0</v>
      </c>
      <c r="F21" s="3">
        <f t="shared" si="2"/>
        <v>1.76</v>
      </c>
      <c r="G21" s="2" t="s">
        <v>118</v>
      </c>
      <c r="H21" s="2" t="s">
        <v>119</v>
      </c>
      <c r="I21" s="9" t="s">
        <v>120</v>
      </c>
      <c r="J21" s="8" t="s">
        <v>121</v>
      </c>
      <c r="K21" s="7" t="s">
        <v>122</v>
      </c>
    </row>
    <row r="22">
      <c r="A22" s="2" t="s">
        <v>123</v>
      </c>
      <c r="B22" s="2">
        <v>1.0</v>
      </c>
      <c r="C22" s="3">
        <v>0.17</v>
      </c>
      <c r="D22" s="4">
        <f t="shared" si="1"/>
        <v>0.17</v>
      </c>
      <c r="E22" s="2">
        <v>4.0</v>
      </c>
      <c r="F22" s="3">
        <f t="shared" si="2"/>
        <v>0.68</v>
      </c>
      <c r="G22" s="2" t="s">
        <v>81</v>
      </c>
      <c r="H22" s="2" t="s">
        <v>124</v>
      </c>
      <c r="I22" s="9" t="s">
        <v>125</v>
      </c>
      <c r="J22" s="8" t="s">
        <v>126</v>
      </c>
      <c r="K22" s="7" t="s">
        <v>127</v>
      </c>
    </row>
    <row r="23">
      <c r="A23" s="12" t="s">
        <v>128</v>
      </c>
      <c r="B23" s="2">
        <v>1.0</v>
      </c>
      <c r="C23" s="3">
        <v>14.91</v>
      </c>
      <c r="D23" s="4">
        <f t="shared" si="1"/>
        <v>14.91</v>
      </c>
      <c r="E23" s="2">
        <v>1.0</v>
      </c>
      <c r="F23" s="3">
        <f t="shared" si="2"/>
        <v>14.91</v>
      </c>
      <c r="G23" s="2" t="s">
        <v>129</v>
      </c>
      <c r="H23" s="2" t="s">
        <v>130</v>
      </c>
      <c r="I23" s="9" t="s">
        <v>131</v>
      </c>
      <c r="J23" s="8" t="s">
        <v>132</v>
      </c>
      <c r="K23" s="7" t="s">
        <v>133</v>
      </c>
    </row>
    <row r="24">
      <c r="D24" s="4">
        <f>SUM(D2:D23)</f>
        <v>53.53</v>
      </c>
      <c r="F24" s="4">
        <f>SUM(F2:F23)</f>
        <v>97.91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I7"/>
    <hyperlink r:id="rId12" ref="J7"/>
    <hyperlink r:id="rId13" ref="I8"/>
    <hyperlink r:id="rId14" ref="J8"/>
    <hyperlink r:id="rId15" ref="I9"/>
    <hyperlink r:id="rId16" ref="J9"/>
    <hyperlink r:id="rId17" ref="I10"/>
    <hyperlink r:id="rId18" ref="J10"/>
    <hyperlink r:id="rId19" ref="I11"/>
    <hyperlink r:id="rId20" ref="J11"/>
    <hyperlink r:id="rId21" ref="I12"/>
    <hyperlink r:id="rId22" ref="J12"/>
    <hyperlink r:id="rId23" ref="I13"/>
    <hyperlink r:id="rId24" ref="J13"/>
    <hyperlink r:id="rId25" ref="I14"/>
    <hyperlink r:id="rId26" ref="J14"/>
    <hyperlink r:id="rId27" ref="I15"/>
    <hyperlink r:id="rId28" ref="J15"/>
    <hyperlink r:id="rId29" ref="I16"/>
    <hyperlink r:id="rId30" ref="J16"/>
    <hyperlink r:id="rId31" ref="I17"/>
    <hyperlink r:id="rId32" ref="J17"/>
    <hyperlink r:id="rId33" ref="I18"/>
    <hyperlink r:id="rId34" ref="J18"/>
    <hyperlink r:id="rId35" ref="I19"/>
    <hyperlink r:id="rId36" ref="J19"/>
    <hyperlink r:id="rId37" ref="I20"/>
    <hyperlink r:id="rId38" ref="J20"/>
    <hyperlink r:id="rId39" ref="I21"/>
    <hyperlink r:id="rId40" ref="J21"/>
    <hyperlink r:id="rId41" ref="I22"/>
    <hyperlink r:id="rId42" ref="J22"/>
    <hyperlink r:id="rId43" ref="I23"/>
    <hyperlink r:id="rId44" ref="J23"/>
  </hyperlinks>
  <drawing r:id="rId45"/>
</worksheet>
</file>